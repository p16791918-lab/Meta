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5_Summary" sheetId="2" state="visible" r:id="rId2"/>
    <sheet xmlns:r="http://schemas.openxmlformats.org/officeDocument/2006/relationships" name="1_FullText_Inclusion" sheetId="3" state="visible" r:id="rId3"/>
    <sheet xmlns:r="http://schemas.openxmlformats.org/officeDocument/2006/relationships" name="2_TA_Excluded_Sample" sheetId="4" state="visible" r:id="rId4"/>
    <sheet xmlns:r="http://schemas.openxmlformats.org/officeDocument/2006/relationships" name="3_Extraction_Verification" sheetId="5" state="visible" r:id="rId5"/>
    <sheet xmlns:r="http://schemas.openxmlformats.org/officeDocument/2006/relationships" name="4_RoB_Review" sheetId="6" state="visible" r:id="rId6"/>
    <sheet xmlns:r="http://schemas.openxmlformats.org/officeDocument/2006/relationships" name="6_FullText_ToObtain" sheetId="7" state="visible" r:id="rId7"/>
  </sheets>
  <definedNames>
    <definedName name="_xlnm._FilterDatabase" localSheetId="2" hidden="1">'1_FullText_Inclusion'!$A$1:$I$244</definedName>
    <definedName name="_xlnm._FilterDatabase" localSheetId="3" hidden="1">'2_TA_Excluded_Sample'!$A$1:$E$152</definedName>
    <definedName name="_xlnm._FilterDatabase" localSheetId="4" hidden="1">'3_Extraction_Verification'!$A$1:$M$147</definedName>
    <definedName name="_xlnm._FilterDatabase" localSheetId="5" hidden="1">'4_RoB_Review'!$A$1:$Q$45</definedName>
    <definedName name="_xlnm._FilterDatabase" localSheetId="6" hidden="1">'6_FullText_ToObtain'!$A$1:$I$28</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FFFFFF"/>
      <sz val="10"/>
    </font>
    <font>
      <name val="Arial"/>
      <i val="1"/>
      <color rgb="007F7F7F"/>
      <sz val="9"/>
    </font>
    <font>
      <name val="Arial"/>
      <sz val="9"/>
    </font>
    <font>
      <name val="Arial"/>
      <b val="1"/>
      <color rgb="001F4E79"/>
      <sz val="14"/>
    </font>
    <font>
      <name val="Arial"/>
      <b val="1"/>
      <color rgb="001F4E79"/>
      <sz val="11"/>
    </font>
    <font>
      <name val="Arial"/>
      <sz val="10"/>
    </font>
    <font>
      <name val="Arial"/>
      <b val="1"/>
      <sz val="10"/>
    </font>
    <font>
      <name val="Arial"/>
      <b val="1"/>
      <color rgb="001F4E79"/>
      <sz val="15"/>
    </font>
    <font>
      <name val="Arial"/>
      <color rgb="00000000"/>
      <sz val="10"/>
    </font>
    <font>
      <name val="Arial"/>
      <b val="1"/>
      <color rgb="00000000"/>
      <sz val="10"/>
    </font>
    <font>
      <name val="Arial"/>
      <color rgb="00C00000"/>
      <sz val="10"/>
    </font>
  </fonts>
  <fills count="5">
    <fill>
      <patternFill/>
    </fill>
    <fill>
      <patternFill patternType="gray125"/>
    </fill>
    <fill>
      <patternFill patternType="solid">
        <fgColor rgb="001F4E79"/>
      </patternFill>
    </fill>
    <fill>
      <patternFill patternType="solid">
        <fgColor rgb="00E7E6E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4" fillId="0" borderId="0" pivotButton="0" quotePrefix="0" xfId="0"/>
    <xf numFmtId="0" fontId="5" fillId="0" borderId="0" pivotButton="0" quotePrefix="0" xfId="0"/>
    <xf numFmtId="0" fontId="6" fillId="0" borderId="0" pivotButton="0" quotePrefix="0" xfId="0"/>
    <xf numFmtId="164" fontId="7"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validation</author>
  </authors>
  <commentList>
    <comment ref="G1" authorId="0" shapeId="0">
      <text>
        <t>Your own decision after reading the full text. This is the human eligibility judgment for the review.</t>
      </text>
    </comment>
  </commentList>
</comments>
</file>

<file path=xl/comments/comment2.xml><?xml version="1.0" encoding="utf-8"?>
<comments xmlns="http://schemas.openxmlformats.org/spreadsheetml/2006/main">
  <authors>
    <author>validation</author>
  </authors>
  <commentList>
    <comment ref="D1" authorId="0" shapeId="0">
      <text>
        <t>A random 150-record sample of the 4,551 records excluded at title/abstract. Re-reading these estimates how many eligible studies the AI first-pass screen may have missed (screening sensitivity).</t>
      </text>
    </comment>
  </commentList>
</comments>
</file>

<file path=xl/comments/comment3.xml><?xml version="1.0" encoding="utf-8"?>
<comments xmlns="http://schemas.openxmlformats.org/spreadsheetml/2006/main">
  <authors>
    <author>validation</author>
  </authors>
  <commentList>
    <comment ref="J1" authorId="0" shapeId="0">
      <text>
        <t>Where in the source the value came from — go here to confirm the extracted numbers.</t>
      </text>
    </comment>
  </commentList>
</comments>
</file>

<file path=xl/comments/comment4.xml><?xml version="1.0" encoding="utf-8"?>
<comments xmlns="http://schemas.openxmlformats.org/spreadsheetml/2006/main">
  <authors>
    <author>validation</author>
  </authors>
  <commentList>
    <comment ref="F1" authorId="0" shapeId="0">
      <text>
        <t>HIGH: a 'not retrieved' exclusion (a study we could not obtain, so eligibility is unconfirmed — the main risk of a missed study) or a quantitative estimate extracted without the main PDF. Obtain these first.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10" customWidth="1" min="1" max="1"/>
  </cols>
  <sheetData>
    <row r="1">
      <c r="A1" s="1" t="inlineStr">
        <is>
          <t>Author validation workbook — breast cancer SR</t>
        </is>
      </c>
    </row>
    <row r="2">
      <c r="A2" s="2" t="inlineStr"/>
    </row>
    <row r="3">
      <c r="A3" s="2" t="inlineStr">
        <is>
          <t>Purpose: make the human-performed steps of the review real and documented. Fill the YELLOW columns only.</t>
        </is>
      </c>
    </row>
    <row r="4">
      <c r="A4" s="2" t="inlineStr">
        <is>
          <t>The AI performed title/abstract screening and data extraction; the author performs full-text inclusion</t>
        </is>
      </c>
    </row>
    <row r="5">
      <c r="A5" s="2" t="inlineStr">
        <is>
          <t>decisions and verifies the extracted values and risk-of-bias ratings. Complete every sheet, then the</t>
        </is>
      </c>
    </row>
    <row r="6">
      <c r="A6" s="2" t="inlineStr">
        <is>
          <t>Summary sheet reports the agreement rates to cite in Methods.</t>
        </is>
      </c>
    </row>
    <row r="7">
      <c r="A7" s="2" t="inlineStr"/>
    </row>
    <row r="8">
      <c r="A8" s="3" t="inlineStr">
        <is>
          <t>Sheet 1 — Full-text inclusion (242 reports): read each full text and record YOUR Include/Exclude</t>
        </is>
      </c>
    </row>
    <row r="9">
      <c r="A9" s="2" t="inlineStr">
        <is>
          <t xml:space="preserve">        decision (col G) and whether you agree with the AI (col H). This is the human eligibility step.</t>
        </is>
      </c>
    </row>
    <row r="10">
      <c r="A10" s="3" t="inlineStr">
        <is>
          <t>Sheet 2 — T/A excluded sample (150 records): re-read this random sample of records the AI excluded at</t>
        </is>
      </c>
    </row>
    <row r="11">
      <c r="A11" s="2" t="inlineStr">
        <is>
          <t xml:space="preserve">        title/abstract; flag any that should have been included (col D). Estimates screening sensitivity.</t>
        </is>
      </c>
    </row>
    <row r="12">
      <c r="A12" s="3" t="inlineStr">
        <is>
          <t>Sheet 3 — Extraction verification (147 estimates): open each source at the listed location and confirm</t>
        </is>
      </c>
    </row>
    <row r="13">
      <c r="A13" s="2" t="inlineStr">
        <is>
          <t xml:space="preserve">        the extracted numbers (col K); enter a correction if any value is wrong (col L).</t>
        </is>
      </c>
    </row>
    <row r="14">
      <c r="A14" s="3" t="inlineStr">
        <is>
          <t>Sheet 4 — Risk of bias review (43 studies): confirm or override each JBI rating (cols P–Q).</t>
        </is>
      </c>
    </row>
    <row r="15">
      <c r="A15" s="3" t="inlineStr">
        <is>
          <t>Sheet 6 — Full-text to obtain (90 reports with no local PDF): obtain each and confirm/override the</t>
        </is>
      </c>
    </row>
    <row r="16">
      <c r="A16" s="2" t="inlineStr">
        <is>
          <t xml:space="preserve">        include/exclude decision (cols G–H). HIGH-risk rows first — these are studies we could not</t>
        </is>
      </c>
    </row>
    <row r="17">
      <c r="A17" s="2" t="inlineStr">
        <is>
          <t xml:space="preserve">        retrieve, the main place an eligible study could have been missed.</t>
        </is>
      </c>
    </row>
    <row r="18">
      <c r="A18" s="3" t="inlineStr">
        <is>
          <t>Sheet 5 — Summary: agreement rates, computed automatically. Nothing to fill here.</t>
        </is>
      </c>
    </row>
    <row r="19">
      <c r="A19" s="2" t="inlineStr"/>
    </row>
    <row r="20">
      <c r="A20" s="4" t="inlineStr">
        <is>
          <t>Row 2 of each sheet is a grey EXAMPLE row showing the expected format — delete it before finalizing.</t>
        </is>
      </c>
    </row>
    <row r="21">
      <c r="A21" s="2" t="inlineStr">
        <is>
          <t>Yellow = you fill.  White = AI reference (do not edit).  Dropdowns are provided where applicable.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52" customWidth="1" min="1" max="1"/>
    <col width="14" customWidth="1" min="2" max="2"/>
    <col width="14" customWidth="1" min="3" max="3"/>
  </cols>
  <sheetData>
    <row r="1">
      <c r="A1" s="5" t="inlineStr">
        <is>
          <t>Author validation — agreement summary</t>
        </is>
      </c>
    </row>
    <row r="3">
      <c r="A3" s="6" t="inlineStr">
        <is>
          <t>Full-text inclusion (Sheet 1)</t>
        </is>
      </c>
    </row>
    <row r="4">
      <c r="A4" s="7" t="inlineStr">
        <is>
          <t xml:space="preserve">  Studies to adjudicate</t>
        </is>
      </c>
      <c r="B4" s="7">
        <f>COUNTA('1_FullText_Inclusion'!A3:A400)</f>
        <v/>
      </c>
    </row>
    <row r="5">
      <c r="A5" s="7" t="inlineStr">
        <is>
          <t xml:space="preserve">  Author decisions entered</t>
        </is>
      </c>
      <c r="B5" s="7">
        <f>COUNTA('1_FullText_Inclusion'!G3:G400)</f>
        <v/>
      </c>
    </row>
    <row r="6">
      <c r="A6" s="7" t="inlineStr">
        <is>
          <t xml:space="preserve">  Author agrees with AI (Yes)</t>
        </is>
      </c>
      <c r="B6" s="7">
        <f>COUNTIF('1_FullText_Inclusion'!H3:H400,"Yes")</f>
        <v/>
      </c>
    </row>
    <row r="7">
      <c r="A7" s="7" t="inlineStr">
        <is>
          <t xml:space="preserve">  Agreement rate</t>
        </is>
      </c>
      <c r="B7" s="8">
        <f>IFERROR(B6/B5,"")</f>
        <v/>
      </c>
    </row>
    <row r="8">
      <c r="A8" s="6" t="inlineStr">
        <is>
          <t>T/A excluded sample (Sheet 2)</t>
        </is>
      </c>
    </row>
    <row r="9">
      <c r="A9" s="7" t="inlineStr">
        <is>
          <t xml:space="preserve">  Records in sample</t>
        </is>
      </c>
      <c r="B9" s="7">
        <f>COUNTA('2_TA_Excluded_Sample'!A3:A400)</f>
        <v/>
      </c>
    </row>
    <row r="10">
      <c r="A10" s="7" t="inlineStr">
        <is>
          <t xml:space="preserve">  Author reviewed</t>
        </is>
      </c>
      <c r="B10" s="7">
        <f>COUNTA('2_TA_Excluded_Sample'!D3:D400)</f>
        <v/>
      </c>
    </row>
    <row r="11">
      <c r="A11" s="7" t="inlineStr">
        <is>
          <t xml:space="preserve">  Flagged 'should have been included' (Yes)</t>
        </is>
      </c>
      <c r="B11" s="7">
        <f>COUNTIF('2_TA_Excluded_Sample'!D3:D400,"Yes")</f>
        <v/>
      </c>
    </row>
    <row r="12">
      <c r="A12" s="7" t="inlineStr">
        <is>
          <t xml:space="preserve">  Estimated false-exclusion rate</t>
        </is>
      </c>
      <c r="B12" s="8">
        <f>IFERROR(B11/B10,"")</f>
        <v/>
      </c>
    </row>
    <row r="13">
      <c r="A13" s="6" t="inlineStr">
        <is>
          <t>Extraction verification (Sheet 3)</t>
        </is>
      </c>
    </row>
    <row r="14">
      <c r="A14" s="7" t="inlineStr">
        <is>
          <t xml:space="preserve">  Estimates to verify</t>
        </is>
      </c>
      <c r="B14" s="7">
        <f>COUNTA('3_Extraction_Verification'!A3:A400)</f>
        <v/>
      </c>
    </row>
    <row r="15">
      <c r="A15" s="7" t="inlineStr">
        <is>
          <t xml:space="preserve">  Author verified</t>
        </is>
      </c>
      <c r="B15" s="7">
        <f>COUNTIF('3_Extraction_Verification'!K3:K400,"Yes")+COUNTIF('3_Extraction_Verification'!K3:K400,"No")</f>
        <v/>
      </c>
    </row>
    <row r="16">
      <c r="A16" s="7" t="inlineStr">
        <is>
          <t xml:space="preserve">  Confirmed correct (Yes)</t>
        </is>
      </c>
      <c r="B16" s="7">
        <f>COUNTIF('3_Extraction_Verification'!K3:K400,"Yes")</f>
        <v/>
      </c>
    </row>
    <row r="17">
      <c r="A17" s="7" t="inlineStr">
        <is>
          <t xml:space="preserve">  Extraction agreement rate</t>
        </is>
      </c>
      <c r="B17" s="8">
        <f>IFERROR(B16/B15,"")</f>
        <v/>
      </c>
    </row>
    <row r="18">
      <c r="A18" s="6" t="inlineStr">
        <is>
          <t>Risk of bias review (Sheet 4)</t>
        </is>
      </c>
    </row>
    <row r="19">
      <c r="A19" s="7" t="inlineStr">
        <is>
          <t xml:space="preserve">  Studies to review</t>
        </is>
      </c>
      <c r="B19" s="7">
        <f>COUNTA('4_RoB_Review'!A3:A400)</f>
        <v/>
      </c>
    </row>
    <row r="20">
      <c r="A20" s="7" t="inlineStr">
        <is>
          <t xml:space="preserve">  Author reviewed</t>
        </is>
      </c>
      <c r="B20" s="7">
        <f>COUNTIF('4_RoB_Review'!P3:P400,"Yes")+COUNTIF('4_RoB_Review'!P3:P400,"No")</f>
        <v/>
      </c>
    </row>
    <row r="21">
      <c r="A21" s="7" t="inlineStr">
        <is>
          <t xml:space="preserve">  Author agrees (Yes)</t>
        </is>
      </c>
      <c r="B21" s="7">
        <f>COUNTIF('4_RoB_Review'!P3:P400,"Yes")</f>
        <v/>
      </c>
    </row>
    <row r="22">
      <c r="A22" s="7" t="inlineStr">
        <is>
          <t xml:space="preserve">  RoB agreement rate</t>
        </is>
      </c>
      <c r="B22" s="8">
        <f>IFERROR(B21/B20,"")</f>
        <v/>
      </c>
    </row>
    <row r="23">
      <c r="A23" s="6" t="inlineStr">
        <is>
          <t>Full-text reports to obtain (Sheet 6)</t>
        </is>
      </c>
    </row>
    <row r="24">
      <c r="A24" s="7" t="inlineStr">
        <is>
          <t xml:space="preserve">  Reports without local PDF</t>
        </is>
      </c>
      <c r="B24" s="7">
        <f>COUNTA('6_FullText_ToObtain'!A3:A400)</f>
        <v/>
      </c>
    </row>
    <row r="25">
      <c r="A25" s="7" t="inlineStr">
        <is>
          <t xml:space="preserve">  HIGH-risk (obtain first)</t>
        </is>
      </c>
      <c r="B25" s="7">
        <f>COUNTIF('6_FullText_ToObtain'!F3:F400,"HIGH*")</f>
        <v/>
      </c>
    </row>
    <row r="26">
      <c r="A26" s="7" t="inlineStr">
        <is>
          <t xml:space="preserve">  Author obtained</t>
        </is>
      </c>
      <c r="B26" s="7">
        <f>COUNTA('6_FullText_ToObtain'!G3:G400)</f>
        <v/>
      </c>
    </row>
    <row r="27">
      <c r="A27" s="7" t="inlineStr">
        <is>
          <t xml:space="preserve">  Obtained rate</t>
        </is>
      </c>
      <c r="B27" s="8">
        <f>IFERROR(B26/B24,"")</f>
        <v/>
      </c>
    </row>
    <row r="29">
      <c r="A29" s="9" t="inlineStr">
        <is>
          <t>Rates populate automatically as you fill the yellow columns in each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4"/>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2" customWidth="1" min="3" max="3"/>
    <col width="22" customWidth="1" min="4" max="4"/>
    <col width="14" customWidth="1" min="5" max="5"/>
    <col width="34" customWidth="1" min="6" max="6"/>
    <col width="16" customWidth="1" min="7" max="7"/>
    <col width="16" customWidth="1" min="8" max="8"/>
    <col width="30" customWidth="1" min="9" max="9"/>
  </cols>
  <sheetData>
    <row r="1" ht="34" customHeight="1">
      <c r="A1" s="10" t="inlineStr">
        <is>
          <t>record_id</t>
        </is>
      </c>
      <c r="B1" s="10" t="inlineStr">
        <is>
          <t>Citation / title</t>
        </is>
      </c>
      <c r="C1" s="10" t="inlineStr">
        <is>
          <t>PMID</t>
        </is>
      </c>
      <c r="D1" s="10" t="inlineStr">
        <is>
          <t>DOI</t>
        </is>
      </c>
      <c r="E1" s="10" t="inlineStr">
        <is>
          <t>AI provisional decision</t>
        </is>
      </c>
      <c r="F1" s="10" t="inlineStr">
        <is>
          <t>AI reason</t>
        </is>
      </c>
      <c r="G1" s="10" t="inlineStr">
        <is>
          <t>AUTHOR decision (Include/Exclude)</t>
        </is>
      </c>
      <c r="H1" s="10" t="inlineStr">
        <is>
          <t>AUTHOR agrees with AI? (Yes/No)</t>
        </is>
      </c>
      <c r="I1" s="10" t="inlineStr">
        <is>
          <t>AUTHOR note / reason if changed</t>
        </is>
      </c>
    </row>
    <row r="2">
      <c r="A2" s="11" t="inlineStr">
        <is>
          <t>e.g. 1234</t>
        </is>
      </c>
      <c r="B2" s="12" t="inlineStr">
        <is>
          <t>Smith J, et al. Breast cancer incidence... Cancer. 2019.</t>
        </is>
      </c>
      <c r="C2" s="11" t="inlineStr">
        <is>
          <t>31234567</t>
        </is>
      </c>
      <c r="D2" s="11" t="inlineStr">
        <is>
          <t>10.1000/xyz</t>
        </is>
      </c>
      <c r="E2" s="11" t="inlineStr">
        <is>
          <t>Include</t>
        </is>
      </c>
      <c r="F2" s="12" t="inlineStr">
        <is>
          <t>Included — quantitative synthesis; SEER</t>
        </is>
      </c>
      <c r="G2" s="11" t="inlineStr">
        <is>
          <t>Include</t>
        </is>
      </c>
      <c r="H2" s="11" t="inlineStr">
        <is>
          <t>Yes</t>
        </is>
      </c>
      <c r="I2" s="12" t="inlineStr">
        <is>
          <t>(leave blank if you agree)</t>
        </is>
      </c>
    </row>
    <row r="3">
      <c r="A3" s="13" t="inlineStr">
        <is>
          <t>2</t>
        </is>
      </c>
      <c r="B3" s="14" t="inlineStr">
        <is>
          <t>US incidence of breast cancer subtypes defined by joint hormone receptor and HER2 status (2014)</t>
        </is>
      </c>
      <c r="C3" s="13" t="inlineStr">
        <is>
          <t>24777111</t>
        </is>
      </c>
      <c r="D3" s="13" t="inlineStr">
        <is>
          <t>10.1093/jnci/dju055</t>
        </is>
      </c>
      <c r="E3" s="13" t="inlineStr">
        <is>
          <t>Include</t>
        </is>
      </c>
      <c r="F3" s="14" t="inlineStr">
        <is>
          <t>Included — quant-extracted synthesis; SEER (28% US)</t>
        </is>
      </c>
      <c r="G3" s="15" t="inlineStr"/>
      <c r="H3" s="15" t="inlineStr"/>
      <c r="I3" s="16" t="inlineStr"/>
    </row>
    <row r="4">
      <c r="A4" s="13" t="inlineStr">
        <is>
          <t>10</t>
        </is>
      </c>
      <c r="B4" s="14" t="inlineStr">
        <is>
          <t>Breast Cancer Incidence Rates in Ghanaian and US Black Women from 2013 Through 2015 (2025)</t>
        </is>
      </c>
      <c r="C4" s="13" t="inlineStr">
        <is>
          <t>41082230</t>
        </is>
      </c>
      <c r="D4" s="13" t="inlineStr">
        <is>
          <t>10.1001/jamanetworkopen.2025.37160</t>
        </is>
      </c>
      <c r="E4" s="13" t="inlineStr">
        <is>
          <t>Include</t>
        </is>
      </c>
      <c r="F4" s="14" t="inlineStr">
        <is>
          <t>Included — quant-extracted synthesis; SEER 17</t>
        </is>
      </c>
      <c r="G4" s="15" t="inlineStr"/>
      <c r="H4" s="15" t="inlineStr"/>
      <c r="I4" s="16" t="inlineStr"/>
    </row>
    <row r="5">
      <c r="A5" s="13" t="inlineStr">
        <is>
          <t>12</t>
        </is>
      </c>
      <c r="B5" s="14" t="inlineStr">
        <is>
          <t>Disparities and trends of the incidence and mortality of female-specific cancers in the United States (2025)</t>
        </is>
      </c>
      <c r="C5" s="13" t="inlineStr">
        <is>
          <t>41086189</t>
        </is>
      </c>
      <c r="D5" s="13" t="inlineStr">
        <is>
          <t>10.1371/journal.pone.0334128</t>
        </is>
      </c>
      <c r="E5" s="13" t="inlineStr">
        <is>
          <t>Include</t>
        </is>
      </c>
      <c r="F5" s="14" t="inlineStr">
        <is>
          <t>Included — quant-extracted synthesis; SEER</t>
        </is>
      </c>
      <c r="G5" s="15" t="inlineStr"/>
      <c r="H5" s="15" t="inlineStr"/>
      <c r="I5" s="16" t="inlineStr"/>
    </row>
    <row r="6">
      <c r="A6" s="13" t="inlineStr">
        <is>
          <t>28</t>
        </is>
      </c>
      <c r="B6" s="14" t="inlineStr">
        <is>
          <t>Invasive breast cancer among Alaska Native women in Alaska (2019)</t>
        </is>
      </c>
      <c r="C6" s="13" t="inlineStr">
        <is>
          <t>31234738</t>
        </is>
      </c>
      <c r="D6" s="13" t="inlineStr">
        <is>
          <t>10.1080/22423982.2019.1633190</t>
        </is>
      </c>
      <c r="E6" s="13" t="inlineStr">
        <is>
          <t>Include</t>
        </is>
      </c>
      <c r="F6" s="14" t="inlineStr">
        <is>
          <t>Included — quant-extracted synthesis; Alaska Native Tumor Registry</t>
        </is>
      </c>
      <c r="G6" s="15" t="inlineStr"/>
      <c r="H6" s="15" t="inlineStr"/>
      <c r="I6" s="16" t="inlineStr"/>
    </row>
    <row r="7">
      <c r="A7" s="13" t="inlineStr">
        <is>
          <t>49</t>
        </is>
      </c>
      <c r="B7" s="14" t="inlineStr">
        <is>
          <t>Cancer incidence in the Hmong in California, 1988-2000 (2005)</t>
        </is>
      </c>
      <c r="C7" s="13" t="inlineStr">
        <is>
          <t>16247793</t>
        </is>
      </c>
      <c r="D7" s="13" t="inlineStr">
        <is>
          <t>10.1002/cncr.21525</t>
        </is>
      </c>
      <c r="E7" s="13" t="inlineStr">
        <is>
          <t>Include</t>
        </is>
      </c>
      <c r="F7" s="14" t="inlineStr">
        <is>
          <t>Included — quant-extracted synthesis; California Cancer Registry</t>
        </is>
      </c>
      <c r="G7" s="15" t="inlineStr"/>
      <c r="H7" s="15" t="inlineStr"/>
      <c r="I7" s="16" t="inlineStr"/>
    </row>
    <row r="8">
      <c r="A8" s="13" t="inlineStr">
        <is>
          <t>51</t>
        </is>
      </c>
      <c r="B8" s="14" t="inlineStr">
        <is>
          <t>The Alaska Native Tumour Registry: fifty years of cancer surveillance data for  Alaska Native people (2022)</t>
        </is>
      </c>
      <c r="C8" s="13" t="inlineStr">
        <is>
          <t>34918619</t>
        </is>
      </c>
      <c r="D8" s="13" t="inlineStr">
        <is>
          <t>10.1080/22423982.2021.2013403</t>
        </is>
      </c>
      <c r="E8" s="13" t="inlineStr">
        <is>
          <t>Include</t>
        </is>
      </c>
      <c r="F8" s="14" t="inlineStr">
        <is>
          <t>Included — quant-extracted synthesis; Alaska Native Tumor Registry</t>
        </is>
      </c>
      <c r="G8" s="15" t="inlineStr"/>
      <c r="H8" s="15" t="inlineStr"/>
      <c r="I8" s="16" t="inlineStr"/>
    </row>
    <row r="9">
      <c r="A9" s="13" t="inlineStr">
        <is>
          <t>66</t>
        </is>
      </c>
      <c r="B9" s="14" t="inlineStr">
        <is>
          <t>Age distributions of breast cancer diagnosis and mortality by race and ethnicity in US women (2021)</t>
        </is>
      </c>
      <c r="C9" s="13" t="inlineStr">
        <is>
          <t>34427920</t>
        </is>
      </c>
      <c r="D9" s="13" t="inlineStr">
        <is>
          <t>10.1002/cncr.33846</t>
        </is>
      </c>
      <c r="E9" s="13" t="inlineStr">
        <is>
          <t>Include</t>
        </is>
      </c>
      <c r="F9" s="14" t="inlineStr">
        <is>
          <t>Included — quant-extracted synthesis; SEER 21</t>
        </is>
      </c>
      <c r="G9" s="15" t="inlineStr"/>
      <c r="H9" s="15" t="inlineStr"/>
      <c r="I9" s="16" t="inlineStr"/>
    </row>
    <row r="10">
      <c r="A10" s="13" t="inlineStr">
        <is>
          <t>100</t>
        </is>
      </c>
      <c r="B10" s="14" t="inlineStr">
        <is>
          <t>Invasive breast cancer incidence trends by detailed race/ethnicity and age (2012)</t>
        </is>
      </c>
      <c r="C10" s="13" t="inlineStr">
        <is>
          <t>21351091</t>
        </is>
      </c>
      <c r="D10" s="13" t="inlineStr">
        <is>
          <t>10.1002/ijc.26004</t>
        </is>
      </c>
      <c r="E10" s="13" t="inlineStr">
        <is>
          <t>Include</t>
        </is>
      </c>
      <c r="F10" s="14" t="inlineStr">
        <is>
          <t>Included — quant-extracted synthesis; LA County (CSP/CA-SEER)</t>
        </is>
      </c>
      <c r="G10" s="15" t="inlineStr"/>
      <c r="H10" s="15" t="inlineStr"/>
      <c r="I10" s="16" t="inlineStr"/>
    </row>
    <row r="11">
      <c r="A11" s="13" t="inlineStr">
        <is>
          <t>107</t>
        </is>
      </c>
      <c r="B11" s="14" t="inlineStr">
        <is>
          <t>Quantification of Potential Inequities in Breast Cancer Incidence in New Mexico Through Bayesian Disease Mapping (2021)</t>
        </is>
      </c>
      <c r="C11" s="13" t="inlineStr">
        <is>
          <t>33705303</t>
        </is>
      </c>
      <c r="D11" s="13" t="inlineStr">
        <is>
          <t>10.5888/pcd18.200468</t>
        </is>
      </c>
      <c r="E11" s="13" t="inlineStr">
        <is>
          <t>Include</t>
        </is>
      </c>
      <c r="F11" s="14" t="inlineStr">
        <is>
          <t>Included — quant-extracted synthesis; SEER (New Mexico)</t>
        </is>
      </c>
      <c r="G11" s="15" t="inlineStr"/>
      <c r="H11" s="15" t="inlineStr"/>
      <c r="I11" s="16" t="inlineStr"/>
    </row>
    <row r="12">
      <c r="A12" s="13" t="inlineStr">
        <is>
          <t>146</t>
        </is>
      </c>
      <c r="B12" s="14" t="inlineStr">
        <is>
          <t>Breast Cancer Incidence Among US Women Aged 20 to 49 Years by Race, Stage, and Hormone Receptor Status (2024)</t>
        </is>
      </c>
      <c r="C12" s="13" t="inlineStr">
        <is>
          <t>38277147</t>
        </is>
      </c>
      <c r="D12" s="13" t="inlineStr">
        <is>
          <t>10.1001/jamanetworkopen.2023.53331</t>
        </is>
      </c>
      <c r="E12" s="13" t="inlineStr">
        <is>
          <t>Include</t>
        </is>
      </c>
      <c r="F12" s="14" t="inlineStr">
        <is>
          <t>Included — quant-extracted synthesis; SEER 17</t>
        </is>
      </c>
      <c r="G12" s="15" t="inlineStr"/>
      <c r="H12" s="15" t="inlineStr"/>
      <c r="I12" s="16" t="inlineStr"/>
    </row>
    <row r="13">
      <c r="A13" s="13" t="inlineStr">
        <is>
          <t>155</t>
        </is>
      </c>
      <c r="B13" s="14" t="inlineStr">
        <is>
          <t>State Variation in Racial and Ethnic Disparities in Incidence of Triple-Negative Breast Cancer among US Women (2023)</t>
        </is>
      </c>
      <c r="C13" s="13" t="inlineStr">
        <is>
          <t>36862439</t>
        </is>
      </c>
      <c r="D13" s="13" t="inlineStr">
        <is>
          <t>10.1001/jamaoncol.2022.7835</t>
        </is>
      </c>
      <c r="E13" s="13" t="inlineStr">
        <is>
          <t>Include</t>
        </is>
      </c>
      <c r="F13" s="14" t="inlineStr">
        <is>
          <t>Included — quant-extracted synthesis; USCS</t>
        </is>
      </c>
      <c r="G13" s="15" t="inlineStr"/>
      <c r="H13" s="15" t="inlineStr"/>
      <c r="I13" s="16" t="inlineStr"/>
    </row>
    <row r="14">
      <c r="A14" s="13" t="inlineStr">
        <is>
          <t>161</t>
        </is>
      </c>
      <c r="B14" s="14" t="inlineStr">
        <is>
          <t>The high and heterogeneous burden of breast cancer in Hawaii: A unique multiethnic U.S. Population (2019)</t>
        </is>
      </c>
      <c r="C14" s="13" t="inlineStr">
        <is>
          <t>30503975</t>
        </is>
      </c>
      <c r="D14" s="13" t="inlineStr">
        <is>
          <t>10.1016/j.canep.2018.11.006</t>
        </is>
      </c>
      <c r="E14" s="13" t="inlineStr">
        <is>
          <t>Include</t>
        </is>
      </c>
      <c r="F14" s="14" t="inlineStr">
        <is>
          <t>Included — quant-extracted synthesis; Hawaii Tumor Registry</t>
        </is>
      </c>
      <c r="G14" s="15" t="inlineStr"/>
      <c r="H14" s="15" t="inlineStr"/>
      <c r="I14" s="16" t="inlineStr"/>
    </row>
    <row r="15">
      <c r="A15" s="13" t="inlineStr">
        <is>
          <t>169</t>
        </is>
      </c>
      <c r="B15" s="14" t="inlineStr">
        <is>
          <t>Trends in Breast Cancer Incidence, by Race, Ethnicity, and Age Among Women Aged ≥20 Years - United States, 1999-2018 (2022)</t>
        </is>
      </c>
      <c r="C15" s="13" t="inlineStr">
        <is>
          <t>35025856</t>
        </is>
      </c>
      <c r="D15" s="13" t="inlineStr">
        <is>
          <t>10.15585/mmwr.mm7102a2</t>
        </is>
      </c>
      <c r="E15" s="13" t="inlineStr">
        <is>
          <t>Include</t>
        </is>
      </c>
      <c r="F15" s="14" t="inlineStr">
        <is>
          <t>Included — quant-extracted synthesis; USCS</t>
        </is>
      </c>
      <c r="G15" s="15" t="inlineStr"/>
      <c r="H15" s="15" t="inlineStr"/>
      <c r="I15" s="16" t="inlineStr"/>
    </row>
    <row r="16">
      <c r="A16" s="13" t="inlineStr">
        <is>
          <t>182</t>
        </is>
      </c>
      <c r="B16" s="14" t="inlineStr">
        <is>
          <t>Vital signs: Racial disparities in breast cancer severity - United States, 2005-2009 (2012)</t>
        </is>
      </c>
      <c r="C16" s="13" t="inlineStr">
        <is>
          <t>23151952</t>
        </is>
      </c>
      <c r="D16" s="13" t="inlineStr"/>
      <c r="E16" s="13" t="inlineStr">
        <is>
          <t>Include</t>
        </is>
      </c>
      <c r="F16" s="14" t="inlineStr">
        <is>
          <t>Included — quant-extracted synthesis; USCS</t>
        </is>
      </c>
      <c r="G16" s="15" t="inlineStr"/>
      <c r="H16" s="15" t="inlineStr"/>
      <c r="I16" s="16" t="inlineStr"/>
    </row>
    <row r="17">
      <c r="A17" s="13" t="inlineStr">
        <is>
          <t>199</t>
        </is>
      </c>
      <c r="B17" s="14" t="inlineStr">
        <is>
          <t>Breast cancer epidemiology in blacks and whites: Disparities in incidence, mortality, survival rates and histology (2008)</t>
        </is>
      </c>
      <c r="C17" s="13" t="inlineStr">
        <is>
          <t>18507200</t>
        </is>
      </c>
      <c r="D17" s="13" t="inlineStr">
        <is>
          <t>10.1016/s0027-9684(15)31294-3</t>
        </is>
      </c>
      <c r="E17" s="13" t="inlineStr">
        <is>
          <t>Include</t>
        </is>
      </c>
      <c r="F17" s="14" t="inlineStr">
        <is>
          <t>Included — quant-extracted synthesis; SEER</t>
        </is>
      </c>
      <c r="G17" s="15" t="inlineStr"/>
      <c r="H17" s="15" t="inlineStr"/>
      <c r="I17" s="16" t="inlineStr"/>
    </row>
    <row r="18">
      <c r="A18" s="13" t="inlineStr">
        <is>
          <t>200</t>
        </is>
      </c>
      <c r="B18" s="14" t="inlineStr">
        <is>
          <t>Breast Cancer Incidence in Black and White Women Stratified by Estrogen and Progesterone Receptor Statuses (2012)</t>
        </is>
      </c>
      <c r="C18" s="13" t="inlineStr">
        <is>
          <t>23166647</t>
        </is>
      </c>
      <c r="D18" s="13" t="inlineStr">
        <is>
          <t>10.1371/journal.pone.0049359</t>
        </is>
      </c>
      <c r="E18" s="13" t="inlineStr">
        <is>
          <t>Include</t>
        </is>
      </c>
      <c r="F18" s="14" t="inlineStr">
        <is>
          <t>Included — quant-extracted synthesis; SEER 17</t>
        </is>
      </c>
      <c r="G18" s="15" t="inlineStr"/>
      <c r="H18" s="15" t="inlineStr"/>
      <c r="I18" s="16" t="inlineStr"/>
    </row>
    <row r="19">
      <c r="A19" s="13" t="inlineStr">
        <is>
          <t>203</t>
        </is>
      </c>
      <c r="B19" s="14" t="inlineStr">
        <is>
          <t>Recent trends in breast cancer among younger women in the United States (2008)</t>
        </is>
      </c>
      <c r="C19" s="13" t="inlineStr">
        <is>
          <t>19001605</t>
        </is>
      </c>
      <c r="D19" s="13" t="inlineStr">
        <is>
          <t>10.1093/jnci/djn344</t>
        </is>
      </c>
      <c r="E19" s="13" t="inlineStr">
        <is>
          <t>Include</t>
        </is>
      </c>
      <c r="F19" s="14" t="inlineStr">
        <is>
          <t>Included — quant-extracted synthesis; SEER 13</t>
        </is>
      </c>
      <c r="G19" s="15" t="inlineStr"/>
      <c r="H19" s="15" t="inlineStr"/>
      <c r="I19" s="16" t="inlineStr"/>
    </row>
    <row r="20">
      <c r="A20" s="13" t="inlineStr">
        <is>
          <t>234</t>
        </is>
      </c>
      <c r="B20" s="14" t="inlineStr">
        <is>
          <t>Breast Cancer Incidence in Asian American, Native Hawaiian, and Pacific Islander Populations, 2000-2022 (2026)</t>
        </is>
      </c>
      <c r="C20" s="13" t="inlineStr">
        <is>
          <t>42377954</t>
        </is>
      </c>
      <c r="D20" s="13" t="inlineStr">
        <is>
          <t>10.1001/jamanetworkopen.2026.21250</t>
        </is>
      </c>
      <c r="E20" s="13" t="inlineStr">
        <is>
          <t>Include</t>
        </is>
      </c>
      <c r="F20" s="14" t="inlineStr">
        <is>
          <t>Included — quant-extracted synthesis; SEER-21</t>
        </is>
      </c>
      <c r="G20" s="15" t="inlineStr"/>
      <c r="H20" s="15" t="inlineStr"/>
      <c r="I20" s="16" t="inlineStr"/>
    </row>
    <row r="21">
      <c r="A21" s="13" t="inlineStr">
        <is>
          <t>236</t>
        </is>
      </c>
      <c r="B21" s="14" t="inlineStr">
        <is>
          <t>Hidden breast cancer disparities in Asian women: disaggregating incidence rates by ethnicity and migrant status. (2010)</t>
        </is>
      </c>
      <c r="C21" s="13" t="inlineStr">
        <is>
          <t>20147696</t>
        </is>
      </c>
      <c r="D21" s="13" t="inlineStr"/>
      <c r="E21" s="13" t="inlineStr">
        <is>
          <t>Include</t>
        </is>
      </c>
      <c r="F21" s="14" t="inlineStr">
        <is>
          <t>Included — quant-extracted synthesis; California Cancer Registry</t>
        </is>
      </c>
      <c r="G21" s="15" t="inlineStr"/>
      <c r="H21" s="15" t="inlineStr"/>
      <c r="I21" s="16" t="inlineStr"/>
    </row>
    <row r="22">
      <c r="A22" s="13" t="inlineStr">
        <is>
          <t>265</t>
        </is>
      </c>
      <c r="B22" s="14" t="inlineStr">
        <is>
          <t>Age-related crossover in breast cancer incidence rates between black and white ethnic groups (2008)</t>
        </is>
      </c>
      <c r="C22" s="13" t="inlineStr">
        <is>
          <t>19066264</t>
        </is>
      </c>
      <c r="D22" s="13" t="inlineStr">
        <is>
          <t>10.1093/jnci/djn411</t>
        </is>
      </c>
      <c r="E22" s="13" t="inlineStr">
        <is>
          <t>Include</t>
        </is>
      </c>
      <c r="F22" s="14" t="inlineStr">
        <is>
          <t>Included — quant-extracted synthesis; SEER 9</t>
        </is>
      </c>
      <c r="G22" s="15" t="inlineStr"/>
      <c r="H22" s="15" t="inlineStr"/>
      <c r="I22" s="16" t="inlineStr"/>
    </row>
    <row r="23">
      <c r="A23" s="13" t="inlineStr">
        <is>
          <t>286</t>
        </is>
      </c>
      <c r="B23" s="14" t="inlineStr">
        <is>
          <t>Variation in breast cancer subtype incidence and distribution by race/ethnicity in the United States from 2010 to 2015 (2020)</t>
        </is>
      </c>
      <c r="C23" s="13" t="inlineStr">
        <is>
          <t>33074325</t>
        </is>
      </c>
      <c r="D23" s="13" t="inlineStr">
        <is>
          <t>10.1001/jamanetworkopen.2020.20303</t>
        </is>
      </c>
      <c r="E23" s="13" t="inlineStr">
        <is>
          <t>Include</t>
        </is>
      </c>
      <c r="F23" s="14" t="inlineStr">
        <is>
          <t>Included — quant-extracted synthesis; SEER 18</t>
        </is>
      </c>
      <c r="G23" s="15" t="inlineStr"/>
      <c r="H23" s="15" t="inlineStr"/>
      <c r="I23" s="16" t="inlineStr"/>
    </row>
    <row r="24">
      <c r="A24" s="13" t="inlineStr">
        <is>
          <t>324</t>
        </is>
      </c>
      <c r="B24" s="14" t="inlineStr">
        <is>
          <t>Breast cancer in Asian Americans in California, 1988–2013: increasing incidence trends and recent data on breast cancer subtypes (2017)</t>
        </is>
      </c>
      <c r="C24" s="13" t="inlineStr">
        <is>
          <t>28365834</t>
        </is>
      </c>
      <c r="D24" s="13" t="inlineStr">
        <is>
          <t>10.1007/s10549-017-4229-1</t>
        </is>
      </c>
      <c r="E24" s="13" t="inlineStr">
        <is>
          <t>Include</t>
        </is>
      </c>
      <c r="F24" s="14" t="inlineStr">
        <is>
          <t>Included — quant-extracted synthesis; California Cancer Registry</t>
        </is>
      </c>
      <c r="G24" s="15" t="inlineStr"/>
      <c r="H24" s="15" t="inlineStr"/>
      <c r="I24" s="16" t="inlineStr"/>
    </row>
    <row r="25">
      <c r="A25" s="13" t="inlineStr">
        <is>
          <t>333</t>
        </is>
      </c>
      <c r="B25" s="14" t="inlineStr">
        <is>
          <t>Breast cancer incidence patterns among california hispanic women: Differences by nativity and residence in an enclave (2010)</t>
        </is>
      </c>
      <c r="C25" s="13" t="inlineStr">
        <is>
          <t>20447917</t>
        </is>
      </c>
      <c r="D25" s="13" t="inlineStr">
        <is>
          <t>10.1158/1055-9965.epi-10-0021</t>
        </is>
      </c>
      <c r="E25" s="13" t="inlineStr">
        <is>
          <t>Include</t>
        </is>
      </c>
      <c r="F25" s="14" t="inlineStr">
        <is>
          <t>Included — quant-extracted synthesis; California Cancer Registry</t>
        </is>
      </c>
      <c r="G25" s="15" t="inlineStr"/>
      <c r="H25" s="15" t="inlineStr"/>
      <c r="I25" s="16" t="inlineStr"/>
    </row>
    <row r="26">
      <c r="A26" s="13" t="inlineStr">
        <is>
          <t>346</t>
        </is>
      </c>
      <c r="B26" s="14" t="inlineStr">
        <is>
          <t>Patterns and Trends in Age-Specific Black-White Differences in Breast Cancer Incidence and Mortality - United States, 1999-2014 (2016)</t>
        </is>
      </c>
      <c r="C26" s="13" t="inlineStr">
        <is>
          <t>27736827</t>
        </is>
      </c>
      <c r="D26" s="13" t="inlineStr">
        <is>
          <t>10.15585/mmwr.mm6540a1</t>
        </is>
      </c>
      <c r="E26" s="13" t="inlineStr">
        <is>
          <t>Include</t>
        </is>
      </c>
      <c r="F26" s="14" t="inlineStr">
        <is>
          <t>Included — quant-extracted synthesis; USCS</t>
        </is>
      </c>
      <c r="G26" s="15" t="inlineStr"/>
      <c r="H26" s="15" t="inlineStr"/>
      <c r="I26" s="16" t="inlineStr"/>
    </row>
    <row r="27">
      <c r="A27" s="13" t="inlineStr">
        <is>
          <t>381</t>
        </is>
      </c>
      <c r="B27" s="14" t="inlineStr">
        <is>
          <t>Age/race differences in HER2 testing and in incidence rates for breast cancer triple subtypes: A population-based study and first report (2010)</t>
        </is>
      </c>
      <c r="C27" s="13" t="inlineStr">
        <is>
          <t>20336785</t>
        </is>
      </c>
      <c r="D27" s="13" t="inlineStr">
        <is>
          <t>10.1002/cncr.25016</t>
        </is>
      </c>
      <c r="E27" s="13" t="inlineStr">
        <is>
          <t>Include</t>
        </is>
      </c>
      <c r="F27" s="14" t="inlineStr">
        <is>
          <t>Included — quant-extracted synthesis; Atlanta SEER + Georgia registry</t>
        </is>
      </c>
      <c r="G27" s="15" t="inlineStr"/>
      <c r="H27" s="15" t="inlineStr"/>
      <c r="I27" s="16" t="inlineStr"/>
    </row>
    <row r="28">
      <c r="A28" s="13" t="inlineStr">
        <is>
          <t>463</t>
        </is>
      </c>
      <c r="B28" s="14" t="inlineStr">
        <is>
          <t>Recent trends in breast cancer incidence among 6 Asian groups in the Greater Bay Area of Northern California (2007)</t>
        </is>
      </c>
      <c r="C28" s="13" t="inlineStr">
        <is>
          <t>17163416</t>
        </is>
      </c>
      <c r="D28" s="13" t="inlineStr">
        <is>
          <t>10.1002/ijc.22432</t>
        </is>
      </c>
      <c r="E28" s="13" t="inlineStr">
        <is>
          <t>Include</t>
        </is>
      </c>
      <c r="F28" s="14" t="inlineStr">
        <is>
          <t>Included — quant-extracted synthesis; Greater Bay Area / CCR</t>
        </is>
      </c>
      <c r="G28" s="15" t="inlineStr"/>
      <c r="H28" s="15" t="inlineStr"/>
      <c r="I28" s="16" t="inlineStr"/>
    </row>
    <row r="29">
      <c r="A29" s="13" t="inlineStr">
        <is>
          <t>485</t>
        </is>
      </c>
      <c r="B29" s="14" t="inlineStr">
        <is>
          <t>Trends in area-socioeconomic and race-ethnic disparities in breast cancer incidence, stage at diagnosis, screening, mortality, and survival among women ages 50 years and over (1987-2005) (2009)</t>
        </is>
      </c>
      <c r="C29" s="13" t="inlineStr">
        <is>
          <t>19124489</t>
        </is>
      </c>
      <c r="D29" s="13" t="inlineStr">
        <is>
          <t>10.1158/1055-9965.epi-08-0679</t>
        </is>
      </c>
      <c r="E29" s="13" t="inlineStr">
        <is>
          <t>Include</t>
        </is>
      </c>
      <c r="F29" s="14" t="inlineStr">
        <is>
          <t>Included — quant-extracted synthesis; SEER</t>
        </is>
      </c>
      <c r="G29" s="15" t="inlineStr"/>
      <c r="H29" s="15" t="inlineStr"/>
      <c r="I29" s="16" t="inlineStr"/>
    </row>
    <row r="30">
      <c r="A30" s="13" t="inlineStr">
        <is>
          <t>500</t>
        </is>
      </c>
      <c r="B30" s="14" t="inlineStr">
        <is>
          <t>Trends in Cancer Incidence among American Indians and Alaska Natives and Non-Hispanic Whites in the United States, 1999-2015 (2020)</t>
        </is>
      </c>
      <c r="C30" s="13" t="inlineStr">
        <is>
          <t>31764279</t>
        </is>
      </c>
      <c r="D30" s="13" t="inlineStr">
        <is>
          <t>10.1097/ede.0000000000001140</t>
        </is>
      </c>
      <c r="E30" s="13" t="inlineStr">
        <is>
          <t>Include</t>
        </is>
      </c>
      <c r="F30" s="14" t="inlineStr">
        <is>
          <t>Included — quant-extracted synthesis; CDC USCS (NPCR+SEER)</t>
        </is>
      </c>
      <c r="G30" s="15" t="inlineStr"/>
      <c r="H30" s="15" t="inlineStr"/>
      <c r="I30" s="16" t="inlineStr"/>
    </row>
    <row r="31">
      <c r="A31" s="13" t="inlineStr">
        <is>
          <t>522</t>
        </is>
      </c>
      <c r="B31" s="14" t="inlineStr">
        <is>
          <t>Characterizing breast cancer incidence and trends among Asian American, Native Hawaiian, and non-Hispanic White women in Hawaiʻi, 1990-2014 (2023)</t>
        </is>
      </c>
      <c r="C31" s="13" t="inlineStr">
        <is>
          <t>36504334</t>
        </is>
      </c>
      <c r="D31" s="13" t="inlineStr">
        <is>
          <t>10.1007/s10552-022-01659-7</t>
        </is>
      </c>
      <c r="E31" s="13" t="inlineStr">
        <is>
          <t>Include</t>
        </is>
      </c>
      <c r="F31" s="14" t="inlineStr">
        <is>
          <t>Included — quant-extracted synthesis; Hawaii Tumor Registry</t>
        </is>
      </c>
      <c r="G31" s="15" t="inlineStr"/>
      <c r="H31" s="15" t="inlineStr"/>
      <c r="I31" s="16" t="inlineStr"/>
    </row>
    <row r="32">
      <c r="A32" s="13" t="inlineStr">
        <is>
          <t>587</t>
        </is>
      </c>
      <c r="B32" s="14" t="inlineStr">
        <is>
          <t>Breast cancer in the middle eastern population of California, 1988-2004 (2009)</t>
        </is>
      </c>
      <c r="C32" s="13" t="inlineStr">
        <is>
          <t>19292805</t>
        </is>
      </c>
      <c r="D32" s="13" t="inlineStr">
        <is>
          <t>10.1111/j.1524-4741.2009.00694.x</t>
        </is>
      </c>
      <c r="E32" s="13" t="inlineStr">
        <is>
          <t>Include</t>
        </is>
      </c>
      <c r="F32" s="14" t="inlineStr">
        <is>
          <t>Included — quant-extracted synthesis; California Cancer Registry</t>
        </is>
      </c>
      <c r="G32" s="15" t="inlineStr"/>
      <c r="H32" s="15" t="inlineStr"/>
      <c r="I32" s="16" t="inlineStr"/>
    </row>
    <row r="33">
      <c r="A33" s="13" t="inlineStr">
        <is>
          <t>955</t>
        </is>
      </c>
      <c r="B33" s="14" t="inlineStr">
        <is>
          <t>Cancer among Asian Indians/Pakistanis living in the United States: Low incidence and generally above average survival (2009)</t>
        </is>
      </c>
      <c r="C33" s="13" t="inlineStr">
        <is>
          <t>19067192</t>
        </is>
      </c>
      <c r="D33" s="13" t="inlineStr">
        <is>
          <t>10.1007/s10552-008-9275-x</t>
        </is>
      </c>
      <c r="E33" s="13" t="inlineStr">
        <is>
          <t>Include</t>
        </is>
      </c>
      <c r="F33" s="14" t="inlineStr">
        <is>
          <t>Included — quant-extracted synthesis; SEER</t>
        </is>
      </c>
      <c r="G33" s="15" t="inlineStr"/>
      <c r="H33" s="15" t="inlineStr"/>
      <c r="I33" s="16" t="inlineStr"/>
    </row>
    <row r="34">
      <c r="A34" s="13" t="inlineStr">
        <is>
          <t>1478</t>
        </is>
      </c>
      <c r="B34" s="14" t="inlineStr">
        <is>
          <t>Cancer incidence, stage at diagnosis, and trends across the Navajo Nation, 2014–2018 (2025)</t>
        </is>
      </c>
      <c r="C34" s="13" t="inlineStr">
        <is>
          <t>41385397</t>
        </is>
      </c>
      <c r="D34" s="13" t="inlineStr">
        <is>
          <t>10.1002/cncr.70202</t>
        </is>
      </c>
      <c r="E34" s="13" t="inlineStr">
        <is>
          <t>Include</t>
        </is>
      </c>
      <c r="F34" s="14" t="inlineStr">
        <is>
          <t>Included — quant-extracted synthesis; NM Tumor Registry + AZ + UT (IHS-linked)</t>
        </is>
      </c>
      <c r="G34" s="15" t="inlineStr"/>
      <c r="H34" s="15" t="inlineStr"/>
      <c r="I34" s="16" t="inlineStr"/>
    </row>
    <row r="35">
      <c r="A35" s="13" t="inlineStr">
        <is>
          <t>2131</t>
        </is>
      </c>
      <c r="B35" s="14" t="inlineStr">
        <is>
          <t>Associations of Obesity, Physical Activity, and Screening With State-Level Trends and Racial and Ethnic Disparities of Breast Cancer Incidence and Mortality in the US (2022)</t>
        </is>
      </c>
      <c r="C35" s="13" t="inlineStr">
        <is>
          <t>35699957</t>
        </is>
      </c>
      <c r="D35" s="13" t="inlineStr">
        <is>
          <t>10.1001/jamanetworkopen.2022.16958</t>
        </is>
      </c>
      <c r="E35" s="13" t="inlineStr">
        <is>
          <t>Include</t>
        </is>
      </c>
      <c r="F35" s="14" t="inlineStr">
        <is>
          <t>Included — quant-extracted synthesis; USCS</t>
        </is>
      </c>
      <c r="G35" s="15" t="inlineStr"/>
      <c r="H35" s="15" t="inlineStr"/>
      <c r="I35" s="16" t="inlineStr"/>
    </row>
    <row r="36">
      <c r="A36" s="13" t="inlineStr">
        <is>
          <t>2406</t>
        </is>
      </c>
      <c r="B36" s="14" t="inlineStr">
        <is>
          <t>Subtype-specific breast cancer incidence rates in black versus white men in the United States (2020)</t>
        </is>
      </c>
      <c r="C36" s="13" t="inlineStr">
        <is>
          <t>32337499</t>
        </is>
      </c>
      <c r="D36" s="13" t="inlineStr">
        <is>
          <t>10.1093/jncics/pkz091</t>
        </is>
      </c>
      <c r="E36" s="13" t="inlineStr">
        <is>
          <t>Include</t>
        </is>
      </c>
      <c r="F36" s="14" t="inlineStr">
        <is>
          <t>Included — quant-extracted synthesis; NPCR+SEER</t>
        </is>
      </c>
      <c r="G36" s="15" t="inlineStr"/>
      <c r="H36" s="15" t="inlineStr"/>
      <c r="I36" s="16" t="inlineStr"/>
    </row>
    <row r="37">
      <c r="A37" s="13" t="inlineStr">
        <is>
          <t>2510</t>
        </is>
      </c>
      <c r="B37" s="14" t="inlineStr">
        <is>
          <t>Disparities in cancer incidence and trends among American Indians and Alaska natives in the United States, 2010–2015 (2019)</t>
        </is>
      </c>
      <c r="C37" s="13" t="inlineStr">
        <is>
          <t>31575554</t>
        </is>
      </c>
      <c r="D37" s="13" t="inlineStr">
        <is>
          <t>10.1158/1055-9965.epi-19-0288</t>
        </is>
      </c>
      <c r="E37" s="13" t="inlineStr">
        <is>
          <t>Include</t>
        </is>
      </c>
      <c r="F37" s="14" t="inlineStr">
        <is>
          <t>Included — quant-extracted synthesis; NPCR (IHS-linked)</t>
        </is>
      </c>
      <c r="G37" s="15" t="inlineStr"/>
      <c r="H37" s="15" t="inlineStr"/>
      <c r="I37" s="16" t="inlineStr"/>
    </row>
    <row r="38">
      <c r="A38" s="13" t="inlineStr">
        <is>
          <t>3182</t>
        </is>
      </c>
      <c r="B38" s="14" t="inlineStr">
        <is>
          <t>Cancer incidence in first generation U.S. Hispanics: Cubans, Mexicans, Puerto Ricans, and New Latinos (2009)</t>
        </is>
      </c>
      <c r="C38" s="13" t="inlineStr">
        <is>
          <t>19661072</t>
        </is>
      </c>
      <c r="D38" s="13" t="inlineStr">
        <is>
          <t>10.1158/1055-9965.epi-09-0329</t>
        </is>
      </c>
      <c r="E38" s="13" t="inlineStr">
        <is>
          <t>Include</t>
        </is>
      </c>
      <c r="F38" s="14" t="inlineStr">
        <is>
          <t>Included — quant-extracted synthesis; Florida Cancer Data System</t>
        </is>
      </c>
      <c r="G38" s="15" t="inlineStr"/>
      <c r="H38" s="15" t="inlineStr"/>
      <c r="I38" s="16" t="inlineStr"/>
    </row>
    <row r="39">
      <c r="A39" s="13" t="inlineStr">
        <is>
          <t>3267</t>
        </is>
      </c>
      <c r="B39" s="14" t="inlineStr">
        <is>
          <t>Cambodian cancer incidence rates in California and Washington, 1998-2002 (2007)</t>
        </is>
      </c>
      <c r="C39" s="13" t="inlineStr">
        <is>
          <t>17654663</t>
        </is>
      </c>
      <c r="D39" s="13" t="inlineStr">
        <is>
          <t>10.1002/cncr.22914</t>
        </is>
      </c>
      <c r="E39" s="13" t="inlineStr">
        <is>
          <t>Include</t>
        </is>
      </c>
      <c r="F39" s="14" t="inlineStr">
        <is>
          <t>Included — quant-extracted synthesis; SEER (CA + Puget Sound)</t>
        </is>
      </c>
      <c r="G39" s="15" t="inlineStr"/>
      <c r="H39" s="15" t="inlineStr"/>
      <c r="I39" s="16" t="inlineStr"/>
    </row>
    <row r="40">
      <c r="A40" s="13" t="inlineStr">
        <is>
          <t>3298</t>
        </is>
      </c>
      <c r="B40" s="14" t="inlineStr">
        <is>
          <t>Patterns of cancer incidence among US Hispanics/Latinos, 1995-2000 (2006)</t>
        </is>
      </c>
      <c r="C40" s="13" t="inlineStr">
        <is>
          <t>16933057</t>
        </is>
      </c>
      <c r="D40" s="13" t="inlineStr">
        <is>
          <t>10.1007/s10552-006-0045-3</t>
        </is>
      </c>
      <c r="E40" s="13" t="inlineStr">
        <is>
          <t>Include</t>
        </is>
      </c>
      <c r="F40" s="14" t="inlineStr">
        <is>
          <t>Included — quant-extracted synthesis; NAACCR</t>
        </is>
      </c>
      <c r="G40" s="15" t="inlineStr"/>
      <c r="H40" s="15" t="inlineStr"/>
      <c r="I40" s="16" t="inlineStr"/>
    </row>
    <row r="41">
      <c r="A41" s="13" t="inlineStr">
        <is>
          <t>3398</t>
        </is>
      </c>
      <c r="B41" s="14" t="inlineStr">
        <is>
          <t>Cancer incidence patterns in Koreans in the US and in Kangwha, South Korea (2003)</t>
        </is>
      </c>
      <c r="C41" s="13" t="inlineStr">
        <is>
          <t>12749722</t>
        </is>
      </c>
      <c r="D41" s="13" t="inlineStr">
        <is>
          <t>10.1023/a:1023046121214</t>
        </is>
      </c>
      <c r="E41" s="13" t="inlineStr">
        <is>
          <t>Include</t>
        </is>
      </c>
      <c r="F41" s="14" t="inlineStr">
        <is>
          <t>Included — quant-extracted synthesis; SEER + California</t>
        </is>
      </c>
      <c r="G41" s="15" t="inlineStr"/>
      <c r="H41" s="15" t="inlineStr"/>
      <c r="I41" s="16" t="inlineStr"/>
    </row>
    <row r="42">
      <c r="A42" s="13" t="inlineStr">
        <is>
          <t>3662</t>
        </is>
      </c>
      <c r="B42" s="14" t="inlineStr">
        <is>
          <t>Incidence of and Trends in the Leading Cancers with Elevated Incidence among American Indian and Alaska Native Populations, 2012-2016 (2021)</t>
        </is>
      </c>
      <c r="C42" s="13" t="inlineStr"/>
      <c r="D42" s="13" t="inlineStr">
        <is>
          <t>10.1093/aje/kwaa222</t>
        </is>
      </c>
      <c r="E42" s="13" t="inlineStr">
        <is>
          <t>Include</t>
        </is>
      </c>
      <c r="F42" s="14" t="inlineStr">
        <is>
          <t>Included — quant-extracted synthesis; NPCR+SEER (IHS-linked)</t>
        </is>
      </c>
      <c r="G42" s="15" t="inlineStr"/>
      <c r="H42" s="15" t="inlineStr"/>
      <c r="I42" s="16" t="inlineStr"/>
    </row>
    <row r="43">
      <c r="A43" s="13" t="inlineStr">
        <is>
          <t>4040</t>
        </is>
      </c>
      <c r="B43" s="14" t="inlineStr">
        <is>
          <t>Cancer incidence and mortality patterns among specific Asian and Pacific Islander populations in the US (2008)</t>
        </is>
      </c>
      <c r="C43" s="13" t="inlineStr">
        <is>
          <t>18066673</t>
        </is>
      </c>
      <c r="D43" s="13" t="inlineStr">
        <is>
          <t>10.1007/s10552-007-9088-3</t>
        </is>
      </c>
      <c r="E43" s="13" t="inlineStr">
        <is>
          <t>Include</t>
        </is>
      </c>
      <c r="F43" s="14" t="inlineStr">
        <is>
          <t>Included — quant-extracted synthesis; SEER + state</t>
        </is>
      </c>
      <c r="G43" s="15" t="inlineStr"/>
      <c r="H43" s="15" t="inlineStr"/>
      <c r="I43" s="16" t="inlineStr"/>
    </row>
    <row r="44">
      <c r="A44" s="13" t="inlineStr">
        <is>
          <t>4098</t>
        </is>
      </c>
      <c r="B44" s="14" t="inlineStr">
        <is>
          <t>Cancer incidence, mortality, and associated risk factors among Asian Americans of Chinese, Filipino, Vietnamese, Korean, and Japanese ethnicities (2007)</t>
        </is>
      </c>
      <c r="C44" s="13" t="inlineStr">
        <is>
          <t>17626117</t>
        </is>
      </c>
      <c r="D44" s="13" t="inlineStr">
        <is>
          <t>10.3322/canjclin.57.4.190</t>
        </is>
      </c>
      <c r="E44" s="13" t="inlineStr">
        <is>
          <t>Include</t>
        </is>
      </c>
      <c r="F44" s="14" t="inlineStr">
        <is>
          <t>Included — quant-extracted synthesis; California Cancer Registry</t>
        </is>
      </c>
      <c r="G44" s="15" t="inlineStr"/>
      <c r="H44" s="15" t="inlineStr"/>
      <c r="I44" s="16" t="inlineStr"/>
    </row>
    <row r="45">
      <c r="A45" s="13" t="inlineStr">
        <is>
          <t>4333</t>
        </is>
      </c>
      <c r="B45" s="14" t="inlineStr">
        <is>
          <t>Cancer among Hispanic women in South Florida: An 18-year assessment - A report from the Florida Cancer Data System (2002)</t>
        </is>
      </c>
      <c r="C45" s="13" t="inlineStr">
        <is>
          <t>12365024</t>
        </is>
      </c>
      <c r="D45" s="13" t="inlineStr">
        <is>
          <t>10.1002/cncr.10834</t>
        </is>
      </c>
      <c r="E45" s="13" t="inlineStr">
        <is>
          <t>Include</t>
        </is>
      </c>
      <c r="F45" s="14" t="inlineStr">
        <is>
          <t>Included — quant-extracted synthesis; Florida Cancer Data System</t>
        </is>
      </c>
      <c r="G45" s="15" t="inlineStr"/>
      <c r="H45" s="15" t="inlineStr"/>
      <c r="I45" s="16" t="inlineStr"/>
    </row>
    <row r="46">
      <c r="A46" s="13" t="inlineStr">
        <is>
          <t>209</t>
        </is>
      </c>
      <c r="B46" s="14" t="inlineStr">
        <is>
          <t>Racial and regional disparities of triple negative breast cancer incidence rates in the United States: An analysis of 2011-2019 NPCR and SEER incidence data (2022)</t>
        </is>
      </c>
      <c r="C46" s="13" t="inlineStr">
        <is>
          <t>36530732</t>
        </is>
      </c>
      <c r="D46" s="13" t="inlineStr">
        <is>
          <t>10.3389/fpubh.2022.1058722</t>
        </is>
      </c>
      <c r="E46" s="13" t="inlineStr">
        <is>
          <t>Include</t>
        </is>
      </c>
      <c r="F46" s="14" t="inlineStr">
        <is>
          <t>Included — quant-eligible synthesis; NPCR + SEER (USCS)</t>
        </is>
      </c>
      <c r="G46" s="15" t="inlineStr"/>
      <c r="H46" s="15" t="inlineStr"/>
      <c r="I46" s="16" t="inlineStr"/>
    </row>
    <row r="47">
      <c r="A47" s="13" t="inlineStr">
        <is>
          <t>419</t>
        </is>
      </c>
      <c r="B47" s="14" t="inlineStr">
        <is>
          <t>Higher population-based incidence rates of triple-negative breast cancer among young African-American women (2011)</t>
        </is>
      </c>
      <c r="C47" s="13" t="inlineStr">
        <is>
          <t>21656753</t>
        </is>
      </c>
      <c r="D47" s="13" t="inlineStr">
        <is>
          <t>10.1002/cncr.25862</t>
        </is>
      </c>
      <c r="E47" s="13" t="inlineStr">
        <is>
          <t>Include</t>
        </is>
      </c>
      <c r="F47" s="14" t="inlineStr">
        <is>
          <t>Included — quant-eligible synthesis; California Cancer Registry</t>
        </is>
      </c>
      <c r="G47" s="15" t="inlineStr"/>
      <c r="H47" s="15" t="inlineStr"/>
      <c r="I47" s="16" t="inlineStr"/>
    </row>
    <row r="48">
      <c r="A48" s="13" t="inlineStr">
        <is>
          <t>461</t>
        </is>
      </c>
      <c r="B48" s="14" t="inlineStr">
        <is>
          <t>Trends and Patterns of Late and Unstaged Lung, Colorectal, Female Breast, and  Prostate Cancers among American Indians in the Northern Plains, 2002-2009 (2015)</t>
        </is>
      </c>
      <c r="C48" s="13" t="inlineStr">
        <is>
          <t>26320932</t>
        </is>
      </c>
      <c r="D48" s="13" t="inlineStr">
        <is>
          <t>10.1353/hpu.2015.0089</t>
        </is>
      </c>
      <c r="E48" s="13" t="inlineStr">
        <is>
          <t>Include</t>
        </is>
      </c>
      <c r="F48" s="14" t="inlineStr">
        <is>
          <t>Included — quant-eligible synthesis; NE/ND/SD state registries</t>
        </is>
      </c>
      <c r="G48" s="15" t="inlineStr"/>
      <c r="H48" s="15" t="inlineStr"/>
      <c r="I48" s="16" t="inlineStr"/>
    </row>
    <row r="49">
      <c r="A49" s="13" t="inlineStr">
        <is>
          <t>2137</t>
        </is>
      </c>
      <c r="B49" s="14" t="inlineStr">
        <is>
          <t>Cancer disparities among non-Hispanic urban American Indian and Alaska Native populations in the United States, 1999-2017 (2022)</t>
        </is>
      </c>
      <c r="C49" s="13" t="inlineStr">
        <is>
          <t>35119703</t>
        </is>
      </c>
      <c r="D49" s="13" t="inlineStr">
        <is>
          <t>10.1002/cncr.34122</t>
        </is>
      </c>
      <c r="E49" s="13" t="inlineStr">
        <is>
          <t>Include</t>
        </is>
      </c>
      <c r="F49" s="14" t="inlineStr">
        <is>
          <t>Included — quant-eligible synthesis; NPCR+SEER (IHS-linked)</t>
        </is>
      </c>
      <c r="G49" s="15" t="inlineStr"/>
      <c r="H49" s="15" t="inlineStr"/>
      <c r="I49" s="16" t="inlineStr"/>
    </row>
    <row r="50">
      <c r="A50" s="13" t="inlineStr">
        <is>
          <t>4027</t>
        </is>
      </c>
      <c r="B50" s="14" t="inlineStr">
        <is>
          <t>Cancer incidence among Asian American populations in the United States, 2009-2011 (2016)</t>
        </is>
      </c>
      <c r="C50" s="13" t="inlineStr">
        <is>
          <t>26661680</t>
        </is>
      </c>
      <c r="D50" s="13" t="inlineStr">
        <is>
          <t>10.1002/ijc.29958</t>
        </is>
      </c>
      <c r="E50" s="13" t="inlineStr">
        <is>
          <t>Include</t>
        </is>
      </c>
      <c r="F50" s="14" t="inlineStr">
        <is>
          <t>Included — quant-eligible synthesis; SEER + state (NPCR)</t>
        </is>
      </c>
      <c r="G50" s="15" t="inlineStr"/>
      <c r="H50" s="15" t="inlineStr"/>
      <c r="I50" s="16" t="inlineStr"/>
    </row>
    <row r="51">
      <c r="A51" s="13" t="inlineStr">
        <is>
          <t>0</t>
        </is>
      </c>
      <c r="B51" s="14" t="inlineStr">
        <is>
          <t>Breast cancer statistics 2024 (2024)</t>
        </is>
      </c>
      <c r="C51" s="13" t="inlineStr">
        <is>
          <t>39352042</t>
        </is>
      </c>
      <c r="D51" s="13" t="inlineStr">
        <is>
          <t>10.3322/caac.21863</t>
        </is>
      </c>
      <c r="E51" s="13" t="inlineStr">
        <is>
          <t>Include</t>
        </is>
      </c>
      <c r="F51" s="14" t="inlineStr">
        <is>
          <t>Included — narrative synthesis; multi-registry aggregate report</t>
        </is>
      </c>
      <c r="G51" s="15" t="inlineStr"/>
      <c r="H51" s="15" t="inlineStr"/>
      <c r="I51" s="16" t="inlineStr"/>
    </row>
    <row r="52">
      <c r="A52" s="13" t="inlineStr">
        <is>
          <t>11</t>
        </is>
      </c>
      <c r="B52" s="14" t="inlineStr">
        <is>
          <t>Cancer statistics for the US Hispanic/Latino population, 2021 (2021)</t>
        </is>
      </c>
      <c r="C52" s="13" t="inlineStr">
        <is>
          <t>34545941</t>
        </is>
      </c>
      <c r="D52" s="13" t="inlineStr">
        <is>
          <t>10.3322/caac.21695</t>
        </is>
      </c>
      <c r="E52" s="13" t="inlineStr">
        <is>
          <t>Include</t>
        </is>
      </c>
      <c r="F52" s="14" t="inlineStr">
        <is>
          <t>Included — narrative synthesis; multi-registry aggregate report</t>
        </is>
      </c>
      <c r="G52" s="15" t="inlineStr"/>
      <c r="H52" s="15" t="inlineStr"/>
      <c r="I52" s="16" t="inlineStr"/>
    </row>
    <row r="53">
      <c r="A53" s="13" t="inlineStr">
        <is>
          <t>14</t>
        </is>
      </c>
      <c r="B53" s="14" t="inlineStr">
        <is>
          <t>Breast Cancer Incidence Trends in Older US Women by Race, Ethnicity, Geography, and Stage (2025)</t>
        </is>
      </c>
      <c r="C53" s="13" t="inlineStr">
        <is>
          <t>40553473</t>
        </is>
      </c>
      <c r="D53" s="13" t="inlineStr">
        <is>
          <t>10.1001/jamanetworkopen.2025.16947</t>
        </is>
      </c>
      <c r="E53" s="13" t="inlineStr">
        <is>
          <t>Include</t>
        </is>
      </c>
      <c r="F53" s="14" t="inlineStr">
        <is>
          <t>Included — narrative synthesis; USCS</t>
        </is>
      </c>
      <c r="G53" s="15" t="inlineStr"/>
      <c r="H53" s="15" t="inlineStr"/>
      <c r="I53" s="16" t="inlineStr"/>
    </row>
    <row r="54">
      <c r="A54" s="13" t="inlineStr">
        <is>
          <t>17</t>
        </is>
      </c>
      <c r="B54" s="14" t="inlineStr">
        <is>
          <t>Racial and ethnic disparities in breast cancer rates by age: NAACCR Breast Cancer Project (2005)</t>
        </is>
      </c>
      <c r="C54" s="13" t="inlineStr">
        <is>
          <t>15986118</t>
        </is>
      </c>
      <c r="D54" s="13" t="inlineStr">
        <is>
          <t>10.1007/s10549-005-2112-y</t>
        </is>
      </c>
      <c r="E54" s="13" t="inlineStr">
        <is>
          <t>Include</t>
        </is>
      </c>
      <c r="F54" s="14" t="inlineStr">
        <is>
          <t>Included — narrative synthesis; NAACCR</t>
        </is>
      </c>
      <c r="G54" s="15" t="inlineStr"/>
      <c r="H54" s="15" t="inlineStr"/>
      <c r="I54" s="16" t="inlineStr"/>
    </row>
    <row r="55">
      <c r="A55" s="13" t="inlineStr">
        <is>
          <t>18</t>
        </is>
      </c>
      <c r="B55" s="14" t="inlineStr">
        <is>
          <t>Invasive cancer incidence - United States, 2010. (2014)</t>
        </is>
      </c>
      <c r="C55" s="13" t="inlineStr">
        <is>
          <t>24670926</t>
        </is>
      </c>
      <c r="D55" s="13" t="inlineStr"/>
      <c r="E55" s="13" t="inlineStr">
        <is>
          <t>Include</t>
        </is>
      </c>
      <c r="F55" s="14" t="inlineStr">
        <is>
          <t>Included — narrative synthesis; multi-registry aggregate report</t>
        </is>
      </c>
      <c r="G55" s="15" t="inlineStr"/>
      <c r="H55" s="15" t="inlineStr"/>
      <c r="I55" s="16" t="inlineStr"/>
    </row>
    <row r="56">
      <c r="A56" s="13" t="inlineStr">
        <is>
          <t>31</t>
        </is>
      </c>
      <c r="B56" s="14" t="inlineStr">
        <is>
          <t>Black-white breast cancer incidence trends: Effects of ethnicity (2018)</t>
        </is>
      </c>
      <c r="C56" s="13" t="inlineStr">
        <is>
          <t>29982593</t>
        </is>
      </c>
      <c r="D56" s="13" t="inlineStr">
        <is>
          <t>10.1093/jnci/djy112</t>
        </is>
      </c>
      <c r="E56" s="13" t="inlineStr">
        <is>
          <t>Include</t>
        </is>
      </c>
      <c r="F56" s="14" t="inlineStr">
        <is>
          <t>Included — narrative synthesis; SEER 13</t>
        </is>
      </c>
      <c r="G56" s="15" t="inlineStr"/>
      <c r="H56" s="15" t="inlineStr"/>
      <c r="I56" s="16" t="inlineStr"/>
    </row>
    <row r="57">
      <c r="A57" s="13" t="inlineStr">
        <is>
          <t>46</t>
        </is>
      </c>
      <c r="B57" s="14" t="inlineStr">
        <is>
          <t>Incidence Rate Trends of Breast Cancer Overall and by Molecular Subtype by Race and Ethnicity and Age (2025)</t>
        </is>
      </c>
      <c r="C57" s="13" t="inlineStr">
        <is>
          <t>39853979</t>
        </is>
      </c>
      <c r="D57" s="13" t="inlineStr">
        <is>
          <t>10.1001/jamanetworkopen.2024.56142</t>
        </is>
      </c>
      <c r="E57" s="13" t="inlineStr">
        <is>
          <t>Include</t>
        </is>
      </c>
      <c r="F57" s="14" t="inlineStr">
        <is>
          <t>Included — narrative synthesis; SEER 22</t>
        </is>
      </c>
      <c r="G57" s="15" t="inlineStr"/>
      <c r="H57" s="15" t="inlineStr"/>
      <c r="I57" s="16" t="inlineStr"/>
    </row>
    <row r="58">
      <c r="A58" s="13" t="inlineStr">
        <is>
          <t>54</t>
        </is>
      </c>
      <c r="B58" s="14" t="inlineStr">
        <is>
          <t>Breast cancer among Asian Indian and Pakistani Americans: A surveillance, epidemiology and end results-based study (2021)</t>
        </is>
      </c>
      <c r="C58" s="13" t="inlineStr">
        <is>
          <t>33099777</t>
        </is>
      </c>
      <c r="D58" s="13" t="inlineStr">
        <is>
          <t>10.1002/ijc.33331</t>
        </is>
      </c>
      <c r="E58" s="13" t="inlineStr">
        <is>
          <t>Include</t>
        </is>
      </c>
      <c r="F58" s="14" t="inlineStr">
        <is>
          <t>Included — narrative synthesis; SEER 9 + NJ + San Jose</t>
        </is>
      </c>
      <c r="G58" s="15" t="inlineStr"/>
      <c r="H58" s="15" t="inlineStr"/>
      <c r="I58" s="16" t="inlineStr"/>
    </row>
    <row r="59">
      <c r="A59" s="13" t="inlineStr">
        <is>
          <t>76</t>
        </is>
      </c>
      <c r="B59" s="14" t="inlineStr">
        <is>
          <t>Trends in breast cancer by race and ethnicity (2003)</t>
        </is>
      </c>
      <c r="C59" s="13" t="inlineStr">
        <is>
          <t>15224974</t>
        </is>
      </c>
      <c r="D59" s="13" t="inlineStr">
        <is>
          <t>10.3322/canjclin.53.6.342</t>
        </is>
      </c>
      <c r="E59" s="13" t="inlineStr">
        <is>
          <t>Include</t>
        </is>
      </c>
      <c r="F59" s="14" t="inlineStr">
        <is>
          <t>Included — narrative synthesis; SEER</t>
        </is>
      </c>
      <c r="G59" s="15" t="inlineStr"/>
      <c r="H59" s="15" t="inlineStr"/>
      <c r="I59" s="16" t="inlineStr"/>
    </row>
    <row r="60">
      <c r="A60" s="13" t="inlineStr">
        <is>
          <t>80</t>
        </is>
      </c>
      <c r="B60" s="14" t="inlineStr">
        <is>
          <t>Breast, Colorectal, and Prostate Cancer Incidence among Filipino Americans by Generational Status in the Multiethnic Cohort Study (2024)</t>
        </is>
      </c>
      <c r="C60" s="13" t="inlineStr">
        <is>
          <t>39132985</t>
        </is>
      </c>
      <c r="D60" s="13" t="inlineStr">
        <is>
          <t>10.1158/1055-9965.epi-24-0647</t>
        </is>
      </c>
      <c r="E60" s="13" t="inlineStr">
        <is>
          <t>Include</t>
        </is>
      </c>
      <c r="F60" s="14" t="inlineStr">
        <is>
          <t>Included — narrative synthesis; Multiethnic Cohort</t>
        </is>
      </c>
      <c r="G60" s="15" t="inlineStr"/>
      <c r="H60" s="15" t="inlineStr"/>
      <c r="I60" s="16" t="inlineStr"/>
    </row>
    <row r="61">
      <c r="A61" s="13" t="inlineStr">
        <is>
          <t>86</t>
        </is>
      </c>
      <c r="B61" s="14" t="inlineStr">
        <is>
          <t>Breast cancer racial differences before age 40--implications for screening. (2002)</t>
        </is>
      </c>
      <c r="C61" s="13" t="inlineStr">
        <is>
          <t>11918384</t>
        </is>
      </c>
      <c r="D61" s="13" t="inlineStr"/>
      <c r="E61" s="13" t="inlineStr">
        <is>
          <t>Include</t>
        </is>
      </c>
      <c r="F61" s="14" t="inlineStr">
        <is>
          <t>Included — narrative synthesis; SEER + 5 state registries</t>
        </is>
      </c>
      <c r="G61" s="15" t="inlineStr"/>
      <c r="H61" s="15" t="inlineStr"/>
      <c r="I61" s="16" t="inlineStr"/>
    </row>
    <row r="62">
      <c r="A62" s="13" t="inlineStr">
        <is>
          <t>93</t>
        </is>
      </c>
      <c r="B62" s="14" t="inlineStr">
        <is>
          <t>Disparities in breast cancer subtypes among women in the lower Mississippi Delta Region states (2019)</t>
        </is>
      </c>
      <c r="C62" s="13" t="inlineStr">
        <is>
          <t>30972520</t>
        </is>
      </c>
      <c r="D62" s="13" t="inlineStr">
        <is>
          <t>10.1007/s10552-019-01168-0</t>
        </is>
      </c>
      <c r="E62" s="13" t="inlineStr">
        <is>
          <t>Include</t>
        </is>
      </c>
      <c r="F62" s="14" t="inlineStr">
        <is>
          <t>Included — narrative synthesis; NAACCR (7 Delta states)</t>
        </is>
      </c>
      <c r="G62" s="15" t="inlineStr"/>
      <c r="H62" s="15" t="inlineStr"/>
      <c r="I62" s="16" t="inlineStr"/>
    </row>
    <row r="63">
      <c r="A63" s="13" t="inlineStr">
        <is>
          <t>101</t>
        </is>
      </c>
      <c r="B63" s="14" t="inlineStr">
        <is>
          <t>Cumulative Incidence Rates of Breast Cancer by Age for Filipinos and Chamorros in Guam (2020)</t>
        </is>
      </c>
      <c r="C63" s="13" t="inlineStr">
        <is>
          <t>32596677</t>
        </is>
      </c>
      <c r="D63" s="13" t="inlineStr"/>
      <c r="E63" s="13" t="inlineStr">
        <is>
          <t>Include</t>
        </is>
      </c>
      <c r="F63" s="14" t="inlineStr">
        <is>
          <t>Included — narrative synthesis; Guam CR + Hawaii TR + SEER</t>
        </is>
      </c>
      <c r="G63" s="15" t="inlineStr"/>
      <c r="H63" s="15" t="inlineStr"/>
      <c r="I63" s="16" t="inlineStr"/>
    </row>
    <row r="64">
      <c r="A64" s="13" t="inlineStr">
        <is>
          <t>103</t>
        </is>
      </c>
      <c r="B64" s="14" t="inlineStr">
        <is>
          <t>Age-specific incidence of breast cancer subtypes: Understanding the black-white crossover (2012)</t>
        </is>
      </c>
      <c r="C64" s="13" t="inlineStr">
        <is>
          <t>22773826</t>
        </is>
      </c>
      <c r="D64" s="13" t="inlineStr">
        <is>
          <t>10.1093/jnci/djs264</t>
        </is>
      </c>
      <c r="E64" s="13" t="inlineStr">
        <is>
          <t>Include</t>
        </is>
      </c>
      <c r="F64" s="14" t="inlineStr">
        <is>
          <t>Included — narrative synthesis; California Cancer Registry</t>
        </is>
      </c>
      <c r="G64" s="15" t="inlineStr"/>
      <c r="H64" s="15" t="inlineStr"/>
      <c r="I64" s="16" t="inlineStr"/>
    </row>
    <row r="65">
      <c r="A65" s="13" t="inlineStr">
        <is>
          <t>119</t>
        </is>
      </c>
      <c r="B65" s="14" t="inlineStr">
        <is>
          <t>Disparities of cancer incidence in Michigan's American Indians: Spotlight on breast cancer (2014)</t>
        </is>
      </c>
      <c r="C65" s="13" t="inlineStr">
        <is>
          <t>24676851</t>
        </is>
      </c>
      <c r="D65" s="13" t="inlineStr">
        <is>
          <t>10.1002/cncr.28589</t>
        </is>
      </c>
      <c r="E65" s="13" t="inlineStr">
        <is>
          <t>Include</t>
        </is>
      </c>
      <c r="F65" s="14" t="inlineStr">
        <is>
          <t>Included — narrative synthesis; Michigan registry (IHS-linked)</t>
        </is>
      </c>
      <c r="G65" s="15" t="inlineStr"/>
      <c r="H65" s="15" t="inlineStr"/>
      <c r="I65" s="16" t="inlineStr"/>
    </row>
    <row r="66">
      <c r="A66" s="13" t="inlineStr">
        <is>
          <t>126</t>
        </is>
      </c>
      <c r="B66" s="14" t="inlineStr">
        <is>
          <t>Incidence trends of breast cancer molecular subtypes by age and race/ethnicity in the US from 2010 to 2016 (2020)</t>
        </is>
      </c>
      <c r="C66" s="13" t="inlineStr">
        <is>
          <t>32804214</t>
        </is>
      </c>
      <c r="D66" s="13" t="inlineStr">
        <is>
          <t>10.1001/jamanetworkopen.2020.13226</t>
        </is>
      </c>
      <c r="E66" s="13" t="inlineStr">
        <is>
          <t>Include</t>
        </is>
      </c>
      <c r="F66" s="14" t="inlineStr">
        <is>
          <t>Included — narrative synthesis; SEER 18</t>
        </is>
      </c>
      <c r="G66" s="15" t="inlineStr"/>
      <c r="H66" s="15" t="inlineStr"/>
      <c r="I66" s="16" t="inlineStr"/>
    </row>
    <row r="67">
      <c r="A67" s="13" t="inlineStr">
        <is>
          <t>134</t>
        </is>
      </c>
      <c r="B67" s="14" t="inlineStr">
        <is>
          <t>Breast cancer incidence among American Indian and Alaska Native women: US, 1999-2004 (2008)</t>
        </is>
      </c>
      <c r="C67" s="13" t="inlineStr">
        <is>
          <t>18720389</t>
        </is>
      </c>
      <c r="D67" s="13" t="inlineStr">
        <is>
          <t>10.1002/cncr.23725</t>
        </is>
      </c>
      <c r="E67" s="13" t="inlineStr">
        <is>
          <t>Include</t>
        </is>
      </c>
      <c r="F67" s="14" t="inlineStr">
        <is>
          <t>Included — narrative synthesis; SEER/NPCR (IHS-linked)</t>
        </is>
      </c>
      <c r="G67" s="15" t="inlineStr"/>
      <c r="H67" s="15" t="inlineStr"/>
      <c r="I67" s="16" t="inlineStr"/>
    </row>
    <row r="68">
      <c r="A68" s="13" t="inlineStr">
        <is>
          <t>141</t>
        </is>
      </c>
      <c r="B68" s="14" t="inlineStr">
        <is>
          <t>Decreasing Incidence of Estrogen Receptor-Negative Breast Cancer in the United States: Trends by Race and Region (2022)</t>
        </is>
      </c>
      <c r="C68" s="13" t="inlineStr">
        <is>
          <t>34508608</t>
        </is>
      </c>
      <c r="D68" s="13" t="inlineStr">
        <is>
          <t>10.1093/jnci/djab186</t>
        </is>
      </c>
      <c r="E68" s="13" t="inlineStr">
        <is>
          <t>Include</t>
        </is>
      </c>
      <c r="F68" s="14" t="inlineStr">
        <is>
          <t>Included — narrative synthesis; SEER 12/17</t>
        </is>
      </c>
      <c r="G68" s="15" t="inlineStr"/>
      <c r="H68" s="15" t="inlineStr"/>
      <c r="I68" s="16" t="inlineStr"/>
    </row>
    <row r="69">
      <c r="A69" s="13" t="inlineStr">
        <is>
          <t>142</t>
        </is>
      </c>
      <c r="B69" s="14" t="inlineStr">
        <is>
          <t>Are There Regional Differences in Triple Negative Breast Cancer among Non-Hispanic Black Women? (2021)</t>
        </is>
      </c>
      <c r="C69" s="13" t="inlineStr">
        <is>
          <t>32778443</t>
        </is>
      </c>
      <c r="D69" s="13" t="inlineStr">
        <is>
          <t>10.1016/j.jnma.2020.07.016</t>
        </is>
      </c>
      <c r="E69" s="13" t="inlineStr">
        <is>
          <t>Include</t>
        </is>
      </c>
      <c r="F69" s="14" t="inlineStr">
        <is>
          <t>Included — narrative synthesis; USCS</t>
        </is>
      </c>
      <c r="G69" s="15" t="inlineStr"/>
      <c r="H69" s="15" t="inlineStr"/>
      <c r="I69" s="16" t="inlineStr"/>
    </row>
    <row r="70">
      <c r="A70" s="13" t="inlineStr">
        <is>
          <t>144</t>
        </is>
      </c>
      <c r="B70" s="14" t="inlineStr">
        <is>
          <t>Rapidly rising breast cancer incidence rates among Asian-American women (2002)</t>
        </is>
      </c>
      <c r="C70" s="13" t="inlineStr">
        <is>
          <t>12115511</t>
        </is>
      </c>
      <c r="D70" s="13" t="inlineStr">
        <is>
          <t>10.1002/ijc.10415</t>
        </is>
      </c>
      <c r="E70" s="13" t="inlineStr">
        <is>
          <t>Include</t>
        </is>
      </c>
      <c r="F70" s="14" t="inlineStr">
        <is>
          <t>Included — narrative synthesis; LA County / CCR + SEER</t>
        </is>
      </c>
      <c r="G70" s="15" t="inlineStr"/>
      <c r="H70" s="15" t="inlineStr"/>
      <c r="I70" s="16" t="inlineStr"/>
    </row>
    <row r="71">
      <c r="A71" s="13" t="inlineStr">
        <is>
          <t>145</t>
        </is>
      </c>
      <c r="B71" s="14" t="inlineStr">
        <is>
          <t>Persistence in breast cancer disparities between African Americans and whites in Wisconsin (2011)</t>
        </is>
      </c>
      <c r="C71" s="13" t="inlineStr">
        <is>
          <t>21473509</t>
        </is>
      </c>
      <c r="D71" s="13" t="inlineStr"/>
      <c r="E71" s="13" t="inlineStr">
        <is>
          <t>Include</t>
        </is>
      </c>
      <c r="F71" s="14" t="inlineStr">
        <is>
          <t>Included — narrative synthesis; Wisconsin (WCRS)</t>
        </is>
      </c>
      <c r="G71" s="15" t="inlineStr"/>
      <c r="H71" s="15" t="inlineStr"/>
      <c r="I71" s="16" t="inlineStr"/>
    </row>
    <row r="72">
      <c r="A72" s="13" t="inlineStr">
        <is>
          <t>151</t>
        </is>
      </c>
      <c r="B72" s="14" t="inlineStr">
        <is>
          <t>Cancer incidence trends among asian american populations in the united states, 1990-2008 (2013)</t>
        </is>
      </c>
      <c r="C72" s="13" t="inlineStr">
        <is>
          <t>23878350</t>
        </is>
      </c>
      <c r="D72" s="13" t="inlineStr">
        <is>
          <t>10.1093/jnci/djt157</t>
        </is>
      </c>
      <c r="E72" s="13" t="inlineStr">
        <is>
          <t>Include</t>
        </is>
      </c>
      <c r="F72" s="14" t="inlineStr">
        <is>
          <t>Included — narrative synthesis; SEER</t>
        </is>
      </c>
      <c r="G72" s="15" t="inlineStr"/>
      <c r="H72" s="15" t="inlineStr"/>
      <c r="I72" s="16" t="inlineStr"/>
    </row>
    <row r="73">
      <c r="A73" s="13" t="inlineStr">
        <is>
          <t>158</t>
        </is>
      </c>
      <c r="B73" s="14" t="inlineStr">
        <is>
          <t>Trends in breast cancer incidence rates by race/ethnicity: Patterns by stage, socioeconomic position, and geography in the United States, 1999-2017 (2022)</t>
        </is>
      </c>
      <c r="C73" s="13" t="inlineStr">
        <is>
          <t>34731501</t>
        </is>
      </c>
      <c r="D73" s="13" t="inlineStr">
        <is>
          <t>10.1002/cncr.34008</t>
        </is>
      </c>
      <c r="E73" s="13" t="inlineStr">
        <is>
          <t>Include</t>
        </is>
      </c>
      <c r="F73" s="14" t="inlineStr">
        <is>
          <t>Included — narrative synthesis; NAACCR CiNA</t>
        </is>
      </c>
      <c r="G73" s="15" t="inlineStr"/>
      <c r="H73" s="15" t="inlineStr"/>
      <c r="I73" s="16" t="inlineStr"/>
    </row>
    <row r="74">
      <c r="A74" s="13" t="inlineStr">
        <is>
          <t>165</t>
        </is>
      </c>
      <c r="B74" s="14" t="inlineStr">
        <is>
          <t>Socioeconomic status and breast cancer incidence in California for different race/ethnic groups (2001)</t>
        </is>
      </c>
      <c r="C74" s="13" t="inlineStr">
        <is>
          <t>11562110</t>
        </is>
      </c>
      <c r="D74" s="13" t="inlineStr">
        <is>
          <t>10.1023/a:1011240019516</t>
        </is>
      </c>
      <c r="E74" s="13" t="inlineStr">
        <is>
          <t>Include</t>
        </is>
      </c>
      <c r="F74" s="14" t="inlineStr">
        <is>
          <t>Included — narrative synthesis; California Cancer Registry</t>
        </is>
      </c>
      <c r="G74" s="15" t="inlineStr"/>
      <c r="H74" s="15" t="inlineStr"/>
      <c r="I74" s="16" t="inlineStr"/>
    </row>
    <row r="75">
      <c r="A75" s="13" t="inlineStr">
        <is>
          <t>178</t>
        </is>
      </c>
      <c r="B75" s="14" t="inlineStr">
        <is>
          <t>Trends in stage at diagnosis for young breast cancer patients in the United States (2019)</t>
        </is>
      </c>
      <c r="C75" s="13" t="inlineStr">
        <is>
          <t>30426307</t>
        </is>
      </c>
      <c r="D75" s="13" t="inlineStr">
        <is>
          <t>10.1007/s10549-018-5042-1</t>
        </is>
      </c>
      <c r="E75" s="13" t="inlineStr">
        <is>
          <t>Include</t>
        </is>
      </c>
      <c r="F75" s="14" t="inlineStr">
        <is>
          <t>Included — narrative synthesis; NAACCR (42 states) + SEER</t>
        </is>
      </c>
      <c r="G75" s="15" t="inlineStr"/>
      <c r="H75" s="15" t="inlineStr"/>
      <c r="I75" s="16" t="inlineStr"/>
    </row>
    <row r="76">
      <c r="A76" s="13" t="inlineStr">
        <is>
          <t>188</t>
        </is>
      </c>
      <c r="B76" s="14" t="inlineStr">
        <is>
          <t>Trends in breast cancer by race and ethnicity: Update 2006 (2006)</t>
        </is>
      </c>
      <c r="C76" s="13" t="inlineStr">
        <is>
          <t>16737949</t>
        </is>
      </c>
      <c r="D76" s="13" t="inlineStr"/>
      <c r="E76" s="13" t="inlineStr">
        <is>
          <t>Include</t>
        </is>
      </c>
      <c r="F76" s="14" t="inlineStr">
        <is>
          <t>Included — narrative synthesis; SEER + NAACCR</t>
        </is>
      </c>
      <c r="G76" s="15" t="inlineStr"/>
      <c r="H76" s="15" t="inlineStr"/>
      <c r="I76" s="16" t="inlineStr"/>
    </row>
    <row r="77">
      <c r="A77" s="13" t="inlineStr">
        <is>
          <t>190</t>
        </is>
      </c>
      <c r="B77" s="14" t="inlineStr">
        <is>
          <t>Cancer Incidence Rate Variations among the Chinese, South Asian, and Vietnamese  in Massachusetts, 2011-2015 (2020)</t>
        </is>
      </c>
      <c r="C77" s="13" t="inlineStr">
        <is>
          <t>34128917</t>
        </is>
      </c>
      <c r="D77" s="13" t="inlineStr"/>
      <c r="E77" s="13" t="inlineStr">
        <is>
          <t>Include</t>
        </is>
      </c>
      <c r="F77" s="14" t="inlineStr">
        <is>
          <t>Included — narrative synthesis; Massachusetts Cancer Registry</t>
        </is>
      </c>
      <c r="G77" s="15" t="inlineStr"/>
      <c r="H77" s="15" t="inlineStr"/>
      <c r="I77" s="16" t="inlineStr"/>
    </row>
    <row r="78">
      <c r="A78" s="13" t="inlineStr">
        <is>
          <t>205</t>
        </is>
      </c>
      <c r="B78" s="14" t="inlineStr">
        <is>
          <t>Breast cancer incidence rates in U.S. women re no longer declining (2011)</t>
        </is>
      </c>
      <c r="C78" s="13" t="inlineStr">
        <is>
          <t>21357727</t>
        </is>
      </c>
      <c r="D78" s="13" t="inlineStr">
        <is>
          <t>10.1158/1055-9965.epi-11-0061</t>
        </is>
      </c>
      <c r="E78" s="13" t="inlineStr">
        <is>
          <t>Include</t>
        </is>
      </c>
      <c r="F78" s="14" t="inlineStr">
        <is>
          <t>Included — narrative synthesis; SEER 12</t>
        </is>
      </c>
      <c r="G78" s="15" t="inlineStr"/>
      <c r="H78" s="15" t="inlineStr"/>
      <c r="I78" s="16" t="inlineStr"/>
    </row>
    <row r="79">
      <c r="A79" s="13" t="inlineStr">
        <is>
          <t>207</t>
        </is>
      </c>
      <c r="B79" s="14" t="inlineStr">
        <is>
          <t>Cancer incidence trends among native hawaiians and other pacific islanders in the united states, 1990-2008 (2013)</t>
        </is>
      </c>
      <c r="C79" s="13" t="inlineStr">
        <is>
          <t>23878354</t>
        </is>
      </c>
      <c r="D79" s="13" t="inlineStr">
        <is>
          <t>10.1093/jnci/djt156</t>
        </is>
      </c>
      <c r="E79" s="13" t="inlineStr">
        <is>
          <t>Include</t>
        </is>
      </c>
      <c r="F79" s="14" t="inlineStr">
        <is>
          <t>Included — narrative synthesis; SEER</t>
        </is>
      </c>
      <c r="G79" s="15" t="inlineStr"/>
      <c r="H79" s="15" t="inlineStr"/>
      <c r="I79" s="16" t="inlineStr"/>
    </row>
    <row r="80">
      <c r="A80" s="13" t="inlineStr">
        <is>
          <t>210</t>
        </is>
      </c>
      <c r="B80" s="14" t="inlineStr">
        <is>
          <t>Breast cancer incidence trends in Asian women aged 20 or older as compared to other ethnic women in the United States from 2000 to 2018 by time period, age and tumor stage (2022)</t>
        </is>
      </c>
      <c r="C80" s="13" t="inlineStr">
        <is>
          <t>34861613</t>
        </is>
      </c>
      <c r="D80" s="13" t="inlineStr">
        <is>
          <t>10.1016/j.canep.2021.102076</t>
        </is>
      </c>
      <c r="E80" s="13" t="inlineStr">
        <is>
          <t>Include</t>
        </is>
      </c>
      <c r="F80" s="14" t="inlineStr">
        <is>
          <t>Included — narrative synthesis; SEER 18</t>
        </is>
      </c>
      <c r="G80" s="15" t="inlineStr"/>
      <c r="H80" s="15" t="inlineStr"/>
      <c r="I80" s="16" t="inlineStr"/>
    </row>
    <row r="81">
      <c r="A81" s="13" t="inlineStr">
        <is>
          <t>226</t>
        </is>
      </c>
      <c r="B81" s="14" t="inlineStr">
        <is>
          <t>Home mortgage discrimination and incidence of triple-negative and Luminal A breast cancer among non-Hispanic Black and non-Hispanic White females in California, 2006–2015 (2022)</t>
        </is>
      </c>
      <c r="C81" s="13" t="inlineStr">
        <is>
          <t>35113296</t>
        </is>
      </c>
      <c r="D81" s="13" t="inlineStr">
        <is>
          <t>10.1007/s10552-022-01557-y</t>
        </is>
      </c>
      <c r="E81" s="13" t="inlineStr">
        <is>
          <t>Include</t>
        </is>
      </c>
      <c r="F81" s="14" t="inlineStr">
        <is>
          <t>Included — narrative synthesis; California Cancer Registry</t>
        </is>
      </c>
      <c r="G81" s="15" t="inlineStr"/>
      <c r="H81" s="15" t="inlineStr"/>
      <c r="I81" s="16" t="inlineStr"/>
    </row>
    <row r="82">
      <c r="A82" s="13" t="inlineStr">
        <is>
          <t>238</t>
        </is>
      </c>
      <c r="B82" s="14" t="inlineStr">
        <is>
          <t>Patterns in cancer incidence among American Indians/Alaska Natives, United States, 1992-1999 (2004)</t>
        </is>
      </c>
      <c r="C82" s="13" t="inlineStr">
        <is>
          <t>15219802</t>
        </is>
      </c>
      <c r="D82" s="13" t="inlineStr">
        <is>
          <t>10.1016/j.phr.2004.05.009</t>
        </is>
      </c>
      <c r="E82" s="13" t="inlineStr">
        <is>
          <t>Include</t>
        </is>
      </c>
      <c r="F82" s="14" t="inlineStr">
        <is>
          <t>Included — narrative synthesis; SEER (12 areas, 42% AI/AN)</t>
        </is>
      </c>
      <c r="G82" s="15" t="inlineStr"/>
      <c r="H82" s="15" t="inlineStr"/>
      <c r="I82" s="16" t="inlineStr"/>
    </row>
    <row r="83">
      <c r="A83" s="13" t="inlineStr">
        <is>
          <t>246</t>
        </is>
      </c>
      <c r="B83" s="14" t="inlineStr">
        <is>
          <t>Does socioeconomic disparity in cancer incidence vary across racial/ethnic groups? (2010)</t>
        </is>
      </c>
      <c r="C83" s="13" t="inlineStr">
        <is>
          <t>20567897</t>
        </is>
      </c>
      <c r="D83" s="13" t="inlineStr">
        <is>
          <t>10.1007/s10552-010-9601-y</t>
        </is>
      </c>
      <c r="E83" s="13" t="inlineStr">
        <is>
          <t>Include</t>
        </is>
      </c>
      <c r="F83" s="14" t="inlineStr">
        <is>
          <t>Included — narrative synthesis; California Cancer Registry</t>
        </is>
      </c>
      <c r="G83" s="15" t="inlineStr"/>
      <c r="H83" s="15" t="inlineStr"/>
      <c r="I83" s="16" t="inlineStr"/>
    </row>
    <row r="84">
      <c r="A84" s="13" t="inlineStr">
        <is>
          <t>252</t>
        </is>
      </c>
      <c r="B84" s="14" t="inlineStr">
        <is>
          <t>Forty-year trends in menopausal hormone therapy use and breast cancer incidence  among postmenopausal black and white women (2020)</t>
        </is>
      </c>
      <c r="C84" s="13" t="inlineStr">
        <is>
          <t>32212335</t>
        </is>
      </c>
      <c r="D84" s="13" t="inlineStr">
        <is>
          <t>10.1002/cncr.32846</t>
        </is>
      </c>
      <c r="E84" s="13" t="inlineStr">
        <is>
          <t>Include</t>
        </is>
      </c>
      <c r="F84" s="14" t="inlineStr">
        <is>
          <t>Included — narrative synthesis; SEER 9</t>
        </is>
      </c>
      <c r="G84" s="15" t="inlineStr"/>
      <c r="H84" s="15" t="inlineStr"/>
      <c r="I84" s="16" t="inlineStr"/>
    </row>
    <row r="85">
      <c r="A85" s="13" t="inlineStr">
        <is>
          <t>259</t>
        </is>
      </c>
      <c r="B85" s="14" t="inlineStr">
        <is>
          <t>What can we learn from the age- and race/ethnicity- specific rates of inflammatory breast carcinoma? (2011)</t>
        </is>
      </c>
      <c r="C85" s="13" t="inlineStr">
        <is>
          <t>21850396</t>
        </is>
      </c>
      <c r="D85" s="13" t="inlineStr">
        <is>
          <t>10.1007/s10549-011-1719-4</t>
        </is>
      </c>
      <c r="E85" s="13" t="inlineStr">
        <is>
          <t>Include</t>
        </is>
      </c>
      <c r="F85" s="14" t="inlineStr">
        <is>
          <t>Included — narrative synthesis; SEER 17</t>
        </is>
      </c>
      <c r="G85" s="15" t="inlineStr"/>
      <c r="H85" s="15" t="inlineStr"/>
      <c r="I85" s="16" t="inlineStr"/>
    </row>
    <row r="86">
      <c r="A86" s="13" t="inlineStr">
        <is>
          <t>272</t>
        </is>
      </c>
      <c r="B86" s="14" t="inlineStr">
        <is>
          <t>Cancer rates among American Indians and Alaska Natives: is there a national  perspective (2003)</t>
        </is>
      </c>
      <c r="C86" s="13" t="inlineStr">
        <is>
          <t>12973851</t>
        </is>
      </c>
      <c r="D86" s="13" t="inlineStr">
        <is>
          <t>10.1002/cncr.11633</t>
        </is>
      </c>
      <c r="E86" s="13" t="inlineStr">
        <is>
          <t>Include</t>
        </is>
      </c>
      <c r="F86" s="14" t="inlineStr">
        <is>
          <t>Included — narrative synthesis; SEER + ANTR</t>
        </is>
      </c>
      <c r="G86" s="15" t="inlineStr"/>
      <c r="H86" s="15" t="inlineStr"/>
      <c r="I86" s="16" t="inlineStr"/>
    </row>
    <row r="87">
      <c r="A87" s="13" t="inlineStr">
        <is>
          <t>284</t>
        </is>
      </c>
      <c r="B87" s="14" t="inlineStr">
        <is>
          <t>Trends in Female Breast Cancer Incidence among Japanese, Korean, and US Populations: An Age-Period-Cohort Analysis (2026)</t>
        </is>
      </c>
      <c r="C87" s="13" t="inlineStr">
        <is>
          <t>42065927</t>
        </is>
      </c>
      <c r="D87" s="13" t="inlineStr">
        <is>
          <t>10.1158/1055-9965.epi-26-0101</t>
        </is>
      </c>
      <c r="E87" s="13" t="inlineStr">
        <is>
          <t>Include</t>
        </is>
      </c>
      <c r="F87" s="14" t="inlineStr">
        <is>
          <t>Included — narrative synthesis; SEER 8 + CI5</t>
        </is>
      </c>
      <c r="G87" s="15" t="inlineStr"/>
      <c r="H87" s="15" t="inlineStr"/>
      <c r="I87" s="16" t="inlineStr"/>
    </row>
    <row r="88">
      <c r="A88" s="13" t="inlineStr">
        <is>
          <t>310</t>
        </is>
      </c>
      <c r="B88" s="14" t="inlineStr">
        <is>
          <t>Recent breast cancer trends among Asian/Pacific Islander, Hispanic, and African-American women in the US: Changes by tumor subtype (2007)</t>
        </is>
      </c>
      <c r="C88" s="13" t="inlineStr">
        <is>
          <t>18162138</t>
        </is>
      </c>
      <c r="D88" s="13" t="inlineStr">
        <is>
          <t>10.1186/bcr1839</t>
        </is>
      </c>
      <c r="E88" s="13" t="inlineStr">
        <is>
          <t>Include</t>
        </is>
      </c>
      <c r="F88" s="14" t="inlineStr">
        <is>
          <t>Included — narrative synthesis; SEER (LA+)</t>
        </is>
      </c>
      <c r="G88" s="15" t="inlineStr"/>
      <c r="H88" s="15" t="inlineStr"/>
      <c r="I88" s="16" t="inlineStr"/>
    </row>
    <row r="89">
      <c r="A89" s="13" t="inlineStr">
        <is>
          <t>316</t>
        </is>
      </c>
      <c r="B89" s="14" t="inlineStr">
        <is>
          <t>Early estimates of cancer incidence for 2015: Expanding to include estimates for white and black races (2018)</t>
        </is>
      </c>
      <c r="C89" s="13" t="inlineStr">
        <is>
          <t>29509274</t>
        </is>
      </c>
      <c r="D89" s="13" t="inlineStr">
        <is>
          <t>10.1002/cncr.31315</t>
        </is>
      </c>
      <c r="E89" s="13" t="inlineStr">
        <is>
          <t>Include</t>
        </is>
      </c>
      <c r="F89" s="14" t="inlineStr">
        <is>
          <t>Included — narrative synthesis; SEER 18</t>
        </is>
      </c>
      <c r="G89" s="15" t="inlineStr"/>
      <c r="H89" s="15" t="inlineStr"/>
      <c r="I89" s="16" t="inlineStr"/>
    </row>
    <row r="90">
      <c r="A90" s="13" t="inlineStr">
        <is>
          <t>322</t>
        </is>
      </c>
      <c r="B90" s="14" t="inlineStr">
        <is>
          <t>Inter- and intra-ethnic differences for female breast carcinoma incidence in the continental United States and in the state of Hawaii (2006)</t>
        </is>
      </c>
      <c r="C90" s="13" t="inlineStr">
        <is>
          <t>16322891</t>
        </is>
      </c>
      <c r="D90" s="13" t="inlineStr">
        <is>
          <t>10.1007/s10549-005-9088-5</t>
        </is>
      </c>
      <c r="E90" s="13" t="inlineStr">
        <is>
          <t>Include</t>
        </is>
      </c>
      <c r="F90" s="14" t="inlineStr">
        <is>
          <t>Included — narrative synthesis; SEER 13</t>
        </is>
      </c>
      <c r="G90" s="15" t="inlineStr"/>
      <c r="H90" s="15" t="inlineStr"/>
      <c r="I90" s="16" t="inlineStr"/>
    </row>
    <row r="91">
      <c r="A91" s="13" t="inlineStr">
        <is>
          <t>336</t>
        </is>
      </c>
      <c r="B91" s="14" t="inlineStr">
        <is>
          <t>Early- and late-onset breast cancer types among women in the United States and Japan (2007)</t>
        </is>
      </c>
      <c r="C91" s="13" t="inlineStr">
        <is>
          <t>17627009</t>
        </is>
      </c>
      <c r="D91" s="13" t="inlineStr">
        <is>
          <t>10.1158/1055-9965.epi-07-0108</t>
        </is>
      </c>
      <c r="E91" s="13" t="inlineStr">
        <is>
          <t>Include</t>
        </is>
      </c>
      <c r="F91" s="14" t="inlineStr">
        <is>
          <t>Included — narrative synthesis; SEER 9 + Osaka</t>
        </is>
      </c>
      <c r="G91" s="15" t="inlineStr"/>
      <c r="H91" s="15" t="inlineStr"/>
      <c r="I91" s="16" t="inlineStr"/>
    </row>
    <row r="92">
      <c r="A92" s="13" t="inlineStr">
        <is>
          <t>339</t>
        </is>
      </c>
      <c r="B92" s="14" t="inlineStr">
        <is>
          <t>Cancers of the breast, uterus, ovary and cervix among Alaska native women, 1974-2003 (2010)</t>
        </is>
      </c>
      <c r="C92" s="13" t="inlineStr">
        <is>
          <t>20167158</t>
        </is>
      </c>
      <c r="D92" s="13" t="inlineStr"/>
      <c r="E92" s="13" t="inlineStr">
        <is>
          <t>Include</t>
        </is>
      </c>
      <c r="F92" s="14" t="inlineStr">
        <is>
          <t>Included — narrative synthesis; Alaska Native Tumor Registry</t>
        </is>
      </c>
      <c r="G92" s="15" t="inlineStr"/>
      <c r="H92" s="15" t="inlineStr"/>
      <c r="I92" s="16" t="inlineStr"/>
    </row>
    <row r="93">
      <c r="A93" s="13" t="inlineStr">
        <is>
          <t>354</t>
        </is>
      </c>
      <c r="B93" s="14" t="inlineStr">
        <is>
          <t>Explaining geographic variation in breast and cervical cancer incidence rates in US Hispanic women (2005)</t>
        </is>
      </c>
      <c r="C93" s="13" t="inlineStr">
        <is>
          <t>16259500</t>
        </is>
      </c>
      <c r="D93" s="13" t="inlineStr"/>
      <c r="E93" s="13" t="inlineStr">
        <is>
          <t>Include</t>
        </is>
      </c>
      <c r="F93" s="14" t="inlineStr">
        <is>
          <t>Included — narrative synthesis; SEER (11 registries)</t>
        </is>
      </c>
      <c r="G93" s="15" t="inlineStr"/>
      <c r="H93" s="15" t="inlineStr"/>
      <c r="I93" s="16" t="inlineStr"/>
    </row>
    <row r="94">
      <c r="A94" s="13" t="inlineStr">
        <is>
          <t>361</t>
        </is>
      </c>
      <c r="B94" s="14" t="inlineStr">
        <is>
          <t>Decline in US breast cancer rates after the Women's Health Initiative: socioeconomic and racial/ethnic differentials. (2010)</t>
        </is>
      </c>
      <c r="C94" s="13" t="inlineStr">
        <is>
          <t>20147667</t>
        </is>
      </c>
      <c r="D94" s="13" t="inlineStr"/>
      <c r="E94" s="13" t="inlineStr">
        <is>
          <t>Include</t>
        </is>
      </c>
      <c r="F94" s="14" t="inlineStr">
        <is>
          <t>Included — narrative synthesis; SEER 13</t>
        </is>
      </c>
      <c r="G94" s="15" t="inlineStr"/>
      <c r="H94" s="15" t="inlineStr"/>
      <c r="I94" s="16" t="inlineStr"/>
    </row>
    <row r="95">
      <c r="A95" s="13" t="inlineStr">
        <is>
          <t>369</t>
        </is>
      </c>
      <c r="B95" s="14" t="inlineStr">
        <is>
          <t>Differences in breast cancer incidence among young women aged 20–49 years by stage and tumor characteristics, age, race, and ethnicity, 2004–2013 (2018)</t>
        </is>
      </c>
      <c r="C95" s="13" t="inlineStr">
        <is>
          <t>29445940</t>
        </is>
      </c>
      <c r="D95" s="13" t="inlineStr">
        <is>
          <t>10.1007/s10549-018-4699-9</t>
        </is>
      </c>
      <c r="E95" s="13" t="inlineStr">
        <is>
          <t>Include</t>
        </is>
      </c>
      <c r="F95" s="14" t="inlineStr">
        <is>
          <t>Included — narrative synthesis; NPCR + SEER</t>
        </is>
      </c>
      <c r="G95" s="15" t="inlineStr"/>
      <c r="H95" s="15" t="inlineStr"/>
      <c r="I95" s="16" t="inlineStr"/>
    </row>
    <row r="96">
      <c r="A96" s="13" t="inlineStr">
        <is>
          <t>377</t>
        </is>
      </c>
      <c r="B96" s="14" t="inlineStr">
        <is>
          <t>Racial/ethnicity disparities in invasive breast cancer among younger and older  women: An analysis using multiple measures of population health (2016)</t>
        </is>
      </c>
      <c r="C96" s="13" t="inlineStr">
        <is>
          <t>27792934</t>
        </is>
      </c>
      <c r="D96" s="13" t="inlineStr">
        <is>
          <t>10.1016/j.canep.2016.10.013</t>
        </is>
      </c>
      <c r="E96" s="13" t="inlineStr">
        <is>
          <t>Include</t>
        </is>
      </c>
      <c r="F96" s="14" t="inlineStr">
        <is>
          <t>Included — narrative synthesis; SEER 18 / NPCR-SEER</t>
        </is>
      </c>
      <c r="G96" s="15" t="inlineStr"/>
      <c r="H96" s="15" t="inlineStr"/>
      <c r="I96" s="16" t="inlineStr"/>
    </row>
    <row r="97">
      <c r="A97" s="13" t="inlineStr">
        <is>
          <t>383</t>
        </is>
      </c>
      <c r="B97" s="14" t="inlineStr">
        <is>
          <t>Rates for breast cancer characteristics by estrogen and progesterone receptor status in the major racial/ethnic groups (2002)</t>
        </is>
      </c>
      <c r="C97" s="13" t="inlineStr">
        <is>
          <t>12206512</t>
        </is>
      </c>
      <c r="D97" s="13" t="inlineStr">
        <is>
          <t>10.1023/a:1016361932220</t>
        </is>
      </c>
      <c r="E97" s="13" t="inlineStr">
        <is>
          <t>Include</t>
        </is>
      </c>
      <c r="F97" s="14" t="inlineStr">
        <is>
          <t>Included — narrative synthesis; SEER 11</t>
        </is>
      </c>
      <c r="G97" s="15" t="inlineStr"/>
      <c r="H97" s="15" t="inlineStr"/>
      <c r="I97" s="16" t="inlineStr"/>
    </row>
    <row r="98">
      <c r="A98" s="13" t="inlineStr">
        <is>
          <t>402</t>
        </is>
      </c>
      <c r="B98" s="14" t="inlineStr">
        <is>
          <t>Disparities in Breast Cancer Incidence, Mortality, and Quality of Care among African American and European American Women in South Carolina (2016)</t>
        </is>
      </c>
      <c r="C98" s="13" t="inlineStr">
        <is>
          <t>26741869</t>
        </is>
      </c>
      <c r="D98" s="13" t="inlineStr">
        <is>
          <t>10.14423/smj.0000000000000396</t>
        </is>
      </c>
      <c r="E98" s="13" t="inlineStr">
        <is>
          <t>Include</t>
        </is>
      </c>
      <c r="F98" s="14" t="inlineStr">
        <is>
          <t>Included — narrative synthesis; State Cancer Profiles (SC)</t>
        </is>
      </c>
      <c r="G98" s="15" t="inlineStr"/>
      <c r="H98" s="15" t="inlineStr"/>
      <c r="I98" s="16" t="inlineStr"/>
    </row>
    <row r="99">
      <c r="A99" s="13" t="inlineStr">
        <is>
          <t>405</t>
        </is>
      </c>
      <c r="B99" s="14" t="inlineStr">
        <is>
          <t>A trend analysis of breast cancer incidence rates in the United States from 2000 to 2009 shows a recent increase (2013)</t>
        </is>
      </c>
      <c r="C99" s="13" t="inlineStr">
        <is>
          <t>23446808</t>
        </is>
      </c>
      <c r="D99" s="13" t="inlineStr">
        <is>
          <t>10.1007/s10549-013-2434-0</t>
        </is>
      </c>
      <c r="E99" s="13" t="inlineStr">
        <is>
          <t>Include</t>
        </is>
      </c>
      <c r="F99" s="14" t="inlineStr">
        <is>
          <t>Included — narrative synthesis; SEER 18</t>
        </is>
      </c>
      <c r="G99" s="15" t="inlineStr"/>
      <c r="H99" s="15" t="inlineStr"/>
      <c r="I99" s="16" t="inlineStr"/>
    </row>
    <row r="100">
      <c r="A100" s="13" t="inlineStr">
        <is>
          <t>425</t>
        </is>
      </c>
      <c r="B100" s="14" t="inlineStr">
        <is>
          <t>Regional disparities in incidence and outcomes of invasive ductal carcinoma of the breast among Asian and Pacific Islander women in the United States (2025)</t>
        </is>
      </c>
      <c r="C100" s="13" t="inlineStr">
        <is>
          <t>40543242</t>
        </is>
      </c>
      <c r="D100" s="13" t="inlineStr">
        <is>
          <t>10.1016/j.canep.2025.102861</t>
        </is>
      </c>
      <c r="E100" s="13" t="inlineStr">
        <is>
          <t>Include</t>
        </is>
      </c>
      <c r="F100" s="14" t="inlineStr">
        <is>
          <t>Included — narrative synthesis; SEER 17</t>
        </is>
      </c>
      <c r="G100" s="15" t="inlineStr"/>
      <c r="H100" s="15" t="inlineStr"/>
      <c r="I100" s="16" t="inlineStr"/>
    </row>
    <row r="101">
      <c r="A101" s="13" t="inlineStr">
        <is>
          <t>426</t>
        </is>
      </c>
      <c r="B101" s="14" t="inlineStr">
        <is>
          <t>Trends in Incidence of Invasive Lobular Carcinoma of the Breast by Race: Patterns by Age, Cancer Stage, and Socioeconomic Factors in the United States, 1992-2019 (2025)</t>
        </is>
      </c>
      <c r="C101" s="13" t="inlineStr">
        <is>
          <t>39837694</t>
        </is>
      </c>
      <c r="D101" s="13" t="inlineStr">
        <is>
          <t>10.1016/j.clbc.2024.12.015</t>
        </is>
      </c>
      <c r="E101" s="13" t="inlineStr">
        <is>
          <t>Include</t>
        </is>
      </c>
      <c r="F101" s="14" t="inlineStr">
        <is>
          <t>Included — narrative synthesis; SEER 12</t>
        </is>
      </c>
      <c r="G101" s="15" t="inlineStr"/>
      <c r="H101" s="15" t="inlineStr"/>
      <c r="I101" s="16" t="inlineStr"/>
    </row>
    <row r="102">
      <c r="A102" s="13" t="inlineStr">
        <is>
          <t>427</t>
        </is>
      </c>
      <c r="B102" s="14" t="inlineStr">
        <is>
          <t>The role of ethnic enclaves and neighborhood socioeconomic status in invasive breast cancer incidence rates among Asian American, Native Hawaiian, and Pacific Islander females in California (2025)</t>
        </is>
      </c>
      <c r="C102" s="13" t="inlineStr">
        <is>
          <t>39438356</t>
        </is>
      </c>
      <c r="D102" s="13" t="inlineStr">
        <is>
          <t>10.1007/s10552-024-01907-y</t>
        </is>
      </c>
      <c r="E102" s="13" t="inlineStr">
        <is>
          <t>Include</t>
        </is>
      </c>
      <c r="F102" s="14" t="inlineStr">
        <is>
          <t>Included — narrative synthesis; California Cancer Registry</t>
        </is>
      </c>
      <c r="G102" s="15" t="inlineStr"/>
      <c r="H102" s="15" t="inlineStr"/>
      <c r="I102" s="16" t="inlineStr"/>
    </row>
    <row r="103">
      <c r="A103" s="13" t="inlineStr">
        <is>
          <t>436</t>
        </is>
      </c>
      <c r="B103" s="14" t="inlineStr">
        <is>
          <t>Incidence, Trends, and Racial/Ethnic Disparities in Female Breast Cancer in the United States, 2000-2023: A SEER Based Study (2026)</t>
        </is>
      </c>
      <c r="C103" s="13" t="inlineStr">
        <is>
          <t>42466659</t>
        </is>
      </c>
      <c r="D103" s="13" t="inlineStr">
        <is>
          <t>10.1177/10732748261470901</t>
        </is>
      </c>
      <c r="E103" s="13" t="inlineStr">
        <is>
          <t>Include</t>
        </is>
      </c>
      <c r="F103" s="14" t="inlineStr">
        <is>
          <t>Included — narrative synthesis; SEER</t>
        </is>
      </c>
      <c r="G103" s="15" t="inlineStr"/>
      <c r="H103" s="15" t="inlineStr"/>
      <c r="I103" s="16" t="inlineStr"/>
    </row>
    <row r="104">
      <c r="A104" s="13" t="inlineStr">
        <is>
          <t>438</t>
        </is>
      </c>
      <c r="B104" s="14" t="inlineStr">
        <is>
          <t>Changes in breast cancer incidence rates in the United States by histologic subtype and race/ethnicity, 1995 to 2004 (2007)</t>
        </is>
      </c>
      <c r="C104" s="13" t="inlineStr">
        <is>
          <t>18086787</t>
        </is>
      </c>
      <c r="D104" s="13" t="inlineStr">
        <is>
          <t>10.1158/1055-9965.epi-07-0546</t>
        </is>
      </c>
      <c r="E104" s="13" t="inlineStr">
        <is>
          <t>Include</t>
        </is>
      </c>
      <c r="F104" s="14" t="inlineStr">
        <is>
          <t>Included — narrative synthesis; SEER</t>
        </is>
      </c>
      <c r="G104" s="15" t="inlineStr"/>
      <c r="H104" s="15" t="inlineStr"/>
      <c r="I104" s="16" t="inlineStr"/>
    </row>
    <row r="105">
      <c r="A105" s="13" t="inlineStr">
        <is>
          <t>448</t>
        </is>
      </c>
      <c r="B105" s="14" t="inlineStr">
        <is>
          <t>Race/ethnicity and changing US socioeconomic gradients in breast cancer incidence: California and Massachusetts, 1978-2002 (United States) (2006)</t>
        </is>
      </c>
      <c r="C105" s="13" t="inlineStr">
        <is>
          <t>16425100</t>
        </is>
      </c>
      <c r="D105" s="13" t="inlineStr">
        <is>
          <t>10.1007/s10552-005-0408-1</t>
        </is>
      </c>
      <c r="E105" s="13" t="inlineStr">
        <is>
          <t>Include</t>
        </is>
      </c>
      <c r="F105" s="14" t="inlineStr">
        <is>
          <t>Included — narrative synthesis; California + Massachusetts (SEER)</t>
        </is>
      </c>
      <c r="G105" s="15" t="inlineStr"/>
      <c r="H105" s="15" t="inlineStr"/>
      <c r="I105" s="16" t="inlineStr"/>
    </row>
    <row r="106">
      <c r="A106" s="13" t="inlineStr">
        <is>
          <t>453</t>
        </is>
      </c>
      <c r="B106" s="14" t="inlineStr">
        <is>
          <t>Racial differences in the incidence of breast cancer subtypes defined by combined histologic grade and hormone receptor status (2010)</t>
        </is>
      </c>
      <c r="C106" s="13" t="inlineStr">
        <is>
          <t>20024610</t>
        </is>
      </c>
      <c r="D106" s="13" t="inlineStr">
        <is>
          <t>10.1007/s10552-009-9472-2</t>
        </is>
      </c>
      <c r="E106" s="13" t="inlineStr">
        <is>
          <t>Include</t>
        </is>
      </c>
      <c r="F106" s="14" t="inlineStr">
        <is>
          <t>Included — narrative synthesis; SC + Ohio state registries (non-SEER)</t>
        </is>
      </c>
      <c r="G106" s="15" t="inlineStr"/>
      <c r="H106" s="15" t="inlineStr"/>
      <c r="I106" s="16" t="inlineStr"/>
    </row>
    <row r="107">
      <c r="A107" s="13" t="inlineStr">
        <is>
          <t>455</t>
        </is>
      </c>
      <c r="B107" s="14" t="inlineStr">
        <is>
          <t>Comparison of clinicopathologic features and survival in young American women aged 18-39 years in different ethnic groups with breast cancer (2013)</t>
        </is>
      </c>
      <c r="C107" s="13" t="inlineStr">
        <is>
          <t>23907433</t>
        </is>
      </c>
      <c r="D107" s="13" t="inlineStr">
        <is>
          <t>10.1038/bjc.2013.387</t>
        </is>
      </c>
      <c r="E107" s="13" t="inlineStr">
        <is>
          <t>Include</t>
        </is>
      </c>
      <c r="F107" s="14" t="inlineStr">
        <is>
          <t>Included — narrative synthesis; SEER</t>
        </is>
      </c>
      <c r="G107" s="15" t="inlineStr"/>
      <c r="H107" s="15" t="inlineStr"/>
      <c r="I107" s="16" t="inlineStr"/>
    </row>
    <row r="108">
      <c r="A108" s="13" t="inlineStr">
        <is>
          <t>474</t>
        </is>
      </c>
      <c r="B108" s="14" t="inlineStr">
        <is>
          <t>Persistent poverty and breast cancer incidence by tumor subtype: intersections of rural/urban residence and race within USA Surveillance Epidemiology and End Results Registries, 2017 to 2021 (2026)</t>
        </is>
      </c>
      <c r="C108" s="13" t="inlineStr">
        <is>
          <t>41546752</t>
        </is>
      </c>
      <c r="D108" s="13" t="inlineStr">
        <is>
          <t>10.1007/s10552-025-02114-z</t>
        </is>
      </c>
      <c r="E108" s="13" t="inlineStr">
        <is>
          <t>Include</t>
        </is>
      </c>
      <c r="F108" s="14" t="inlineStr">
        <is>
          <t>Included — narrative synthesis; SEER 22</t>
        </is>
      </c>
      <c r="G108" s="15" t="inlineStr"/>
      <c r="H108" s="15" t="inlineStr"/>
      <c r="I108" s="16" t="inlineStr"/>
    </row>
    <row r="109">
      <c r="A109" s="13" t="inlineStr">
        <is>
          <t>475</t>
        </is>
      </c>
      <c r="B109" s="14" t="inlineStr">
        <is>
          <t>The greater impact of menopause on ER- than ER+ breast cancer incidence: A possible explanation (United States) (2002)</t>
        </is>
      </c>
      <c r="C109" s="13" t="inlineStr">
        <is>
          <t>11899120</t>
        </is>
      </c>
      <c r="D109" s="13" t="inlineStr">
        <is>
          <t>10.1023/a:1013960609008</t>
        </is>
      </c>
      <c r="E109" s="13" t="inlineStr">
        <is>
          <t>Include</t>
        </is>
      </c>
      <c r="F109" s="14" t="inlineStr">
        <is>
          <t>Included — narrative synthesis; SEER</t>
        </is>
      </c>
      <c r="G109" s="15" t="inlineStr"/>
      <c r="H109" s="15" t="inlineStr"/>
      <c r="I109" s="16" t="inlineStr"/>
    </row>
    <row r="110">
      <c r="A110" s="13" t="inlineStr">
        <is>
          <t>477</t>
        </is>
      </c>
      <c r="B110" s="14" t="inlineStr">
        <is>
          <t>Spillover effects of public school integration in the southern United States: diverging trends in statewide annual breast cancer incidence, 2001–2019 (2026)</t>
        </is>
      </c>
      <c r="C110" s="13" t="inlineStr">
        <is>
          <t>41649619</t>
        </is>
      </c>
      <c r="D110" s="13" t="inlineStr">
        <is>
          <t>10.1007/s10552-025-02124-x</t>
        </is>
      </c>
      <c r="E110" s="13" t="inlineStr">
        <is>
          <t>Include</t>
        </is>
      </c>
      <c r="F110" s="14" t="inlineStr">
        <is>
          <t>Included — narrative synthesis; USCS</t>
        </is>
      </c>
      <c r="G110" s="15" t="inlineStr"/>
      <c r="H110" s="15" t="inlineStr"/>
      <c r="I110" s="16" t="inlineStr"/>
    </row>
    <row r="111">
      <c r="A111" s="13" t="inlineStr">
        <is>
          <t>480</t>
        </is>
      </c>
      <c r="B111" s="14" t="inlineStr">
        <is>
          <t>Changes in the pattern of breast cancer burden among African American women: Evidence based on 29 states and District of Columbia during 1998 to 2010 (2015)</t>
        </is>
      </c>
      <c r="C111" s="13" t="inlineStr">
        <is>
          <t>25442056</t>
        </is>
      </c>
      <c r="D111" s="13" t="inlineStr">
        <is>
          <t>10.1016/j.annepidem.2014.09.006</t>
        </is>
      </c>
      <c r="E111" s="13" t="inlineStr">
        <is>
          <t>Include</t>
        </is>
      </c>
      <c r="F111" s="14" t="inlineStr">
        <is>
          <t>Included — narrative synthesis; SEER + NPCR + NAACCR (29 states)</t>
        </is>
      </c>
      <c r="G111" s="15" t="inlineStr"/>
      <c r="H111" s="15" t="inlineStr"/>
      <c r="I111" s="16" t="inlineStr"/>
    </row>
    <row r="112">
      <c r="A112" s="13" t="inlineStr">
        <is>
          <t>504</t>
        </is>
      </c>
      <c r="B112" s="14" t="inlineStr">
        <is>
          <t>Cancer Incidence and Trends in Persistent Poverty Areas of California by Race/Ethnicity and Sex (2025)</t>
        </is>
      </c>
      <c r="C112" s="13" t="inlineStr">
        <is>
          <t>40736150</t>
        </is>
      </c>
      <c r="D112" s="13" t="inlineStr">
        <is>
          <t>10.1002/cam4.71088</t>
        </is>
      </c>
      <c r="E112" s="13" t="inlineStr">
        <is>
          <t>Include</t>
        </is>
      </c>
      <c r="F112" s="14" t="inlineStr">
        <is>
          <t>Included — narrative synthesis; California Cancer Registry</t>
        </is>
      </c>
      <c r="G112" s="15" t="inlineStr"/>
      <c r="H112" s="15" t="inlineStr"/>
      <c r="I112" s="16" t="inlineStr"/>
    </row>
    <row r="113">
      <c r="A113" s="13" t="inlineStr">
        <is>
          <t>510</t>
        </is>
      </c>
      <c r="B113" s="14" t="inlineStr">
        <is>
          <t>Cancer statistics for Asian Americans, Native Hawaiians, and Pacific Islanders, 2016: Converging incidence in males and females (2016)</t>
        </is>
      </c>
      <c r="C113" s="13" t="inlineStr">
        <is>
          <t>26766789</t>
        </is>
      </c>
      <c r="D113" s="13" t="inlineStr">
        <is>
          <t>10.3322/caac.21335</t>
        </is>
      </c>
      <c r="E113" s="13" t="inlineStr">
        <is>
          <t>Include</t>
        </is>
      </c>
      <c r="F113" s="14" t="inlineStr">
        <is>
          <t>Included — narrative synthesis; multi-registry aggregate report</t>
        </is>
      </c>
      <c r="G113" s="15" t="inlineStr"/>
      <c r="H113" s="15" t="inlineStr"/>
      <c r="I113" s="16" t="inlineStr"/>
    </row>
    <row r="114">
      <c r="A114" s="13" t="inlineStr">
        <is>
          <t>516</t>
        </is>
      </c>
      <c r="B114" s="14" t="inlineStr">
        <is>
          <t>The role of area-level socioeconomic disadvantage in racial disparities in cancer incidence in metropolitan Detroit (2023)</t>
        </is>
      </c>
      <c r="C114" s="13" t="inlineStr">
        <is>
          <t>37184135</t>
        </is>
      </c>
      <c r="D114" s="13" t="inlineStr">
        <is>
          <t>10.1002/cam4.6065</t>
        </is>
      </c>
      <c r="E114" s="13" t="inlineStr">
        <is>
          <t>Include</t>
        </is>
      </c>
      <c r="F114" s="14" t="inlineStr">
        <is>
          <t>Included — narrative synthesis; Metro Detroit (MDCSS)</t>
        </is>
      </c>
      <c r="G114" s="15" t="inlineStr"/>
      <c r="H114" s="15" t="inlineStr"/>
      <c r="I114" s="16" t="inlineStr"/>
    </row>
    <row r="115">
      <c r="A115" s="13" t="inlineStr">
        <is>
          <t>541</t>
        </is>
      </c>
      <c r="B115" s="14" t="inlineStr">
        <is>
          <t>Racial and socioeconomic disparities in breast cancer diagnosis and mortality in Pennsylvania (2022)</t>
        </is>
      </c>
      <c r="C115" s="13" t="inlineStr">
        <is>
          <t>35064367</t>
        </is>
      </c>
      <c r="D115" s="13" t="inlineStr">
        <is>
          <t>10.1007/s10549-021-06492-1</t>
        </is>
      </c>
      <c r="E115" s="13" t="inlineStr">
        <is>
          <t>Include</t>
        </is>
      </c>
      <c r="F115" s="14" t="inlineStr">
        <is>
          <t>Included — narrative synthesis; Pennsylvania Cancer Registry</t>
        </is>
      </c>
      <c r="G115" s="15" t="inlineStr"/>
      <c r="H115" s="15" t="inlineStr"/>
      <c r="I115" s="16" t="inlineStr"/>
    </row>
    <row r="116">
      <c r="A116" s="13" t="inlineStr">
        <is>
          <t>565</t>
        </is>
      </c>
      <c r="B116" s="14" t="inlineStr">
        <is>
          <t>Cancer in Guam and Hawaii: A comparison of two U.S. Island populations (2017)</t>
        </is>
      </c>
      <c r="C116" s="13" t="inlineStr">
        <is>
          <t>29120826</t>
        </is>
      </c>
      <c r="D116" s="13" t="inlineStr">
        <is>
          <t>10.1016/j.canep.2017.08.005</t>
        </is>
      </c>
      <c r="E116" s="13" t="inlineStr">
        <is>
          <t>Include</t>
        </is>
      </c>
      <c r="F116" s="14" t="inlineStr">
        <is>
          <t>Included — narrative synthesis; Guam CR + Hawaii TR</t>
        </is>
      </c>
      <c r="G116" s="15" t="inlineStr"/>
      <c r="H116" s="15" t="inlineStr"/>
      <c r="I116" s="16" t="inlineStr"/>
    </row>
    <row r="117">
      <c r="A117" s="13" t="inlineStr">
        <is>
          <t>603</t>
        </is>
      </c>
      <c r="B117" s="14" t="inlineStr">
        <is>
          <t>Secular trends, race, and geographic disparity of early-stage breast cancer incidence: 25 years of surveillance in Connecticut (2015)</t>
        </is>
      </c>
      <c r="C117" s="13" t="inlineStr">
        <is>
          <t>25905822</t>
        </is>
      </c>
      <c r="D117" s="13" t="inlineStr">
        <is>
          <t>10.2105/ajph.2015.302640</t>
        </is>
      </c>
      <c r="E117" s="13" t="inlineStr">
        <is>
          <t>Include</t>
        </is>
      </c>
      <c r="F117" s="14" t="inlineStr">
        <is>
          <t>Included — narrative synthesis; Connecticut Tumor Registry</t>
        </is>
      </c>
      <c r="G117" s="15" t="inlineStr"/>
      <c r="H117" s="15" t="inlineStr"/>
      <c r="I117" s="16" t="inlineStr"/>
    </row>
    <row r="118">
      <c r="A118" s="13" t="inlineStr">
        <is>
          <t>687</t>
        </is>
      </c>
      <c r="B118" s="14" t="inlineStr">
        <is>
          <t>Urbanization and breast cancer incidence in North Carolina, 1995-1999 (2005)</t>
        </is>
      </c>
      <c r="C118" s="13" t="inlineStr">
        <is>
          <t>15922628</t>
        </is>
      </c>
      <c r="D118" s="13" t="inlineStr">
        <is>
          <t>10.1016/j.annepidem.2005.02.006</t>
        </is>
      </c>
      <c r="E118" s="13" t="inlineStr">
        <is>
          <t>Include</t>
        </is>
      </c>
      <c r="F118" s="14" t="inlineStr">
        <is>
          <t>Included — narrative synthesis; North Carolina Central Cancer Registry</t>
        </is>
      </c>
      <c r="G118" s="15" t="inlineStr"/>
      <c r="H118" s="15" t="inlineStr"/>
      <c r="I118" s="16" t="inlineStr"/>
    </row>
    <row r="119">
      <c r="A119" s="13" t="inlineStr">
        <is>
          <t>701</t>
        </is>
      </c>
      <c r="B119" s="14" t="inlineStr">
        <is>
          <t>Geographic differences in early-onset breast cancer incidence trends in the USA, 2001–2020, is it time for a geographic risk score? (2025)</t>
        </is>
      </c>
      <c r="C119" s="13" t="inlineStr">
        <is>
          <t>39937364</t>
        </is>
      </c>
      <c r="D119" s="13" t="inlineStr">
        <is>
          <t>10.1007/s10552-025-01968-7</t>
        </is>
      </c>
      <c r="E119" s="13" t="inlineStr">
        <is>
          <t>Include</t>
        </is>
      </c>
      <c r="F119" s="14" t="inlineStr">
        <is>
          <t>Included — narrative synthesis; USCS</t>
        </is>
      </c>
      <c r="G119" s="15" t="inlineStr"/>
      <c r="H119" s="15" t="inlineStr"/>
      <c r="I119" s="16" t="inlineStr"/>
    </row>
    <row r="120">
      <c r="A120" s="13" t="inlineStr">
        <is>
          <t>751</t>
        </is>
      </c>
      <c r="B120" s="14" t="inlineStr">
        <is>
          <t>Population-based statistics for women diagnosed with inflammatory breast cancer (United States) (2004)</t>
        </is>
      </c>
      <c r="C120" s="13" t="inlineStr">
        <is>
          <t>15090727</t>
        </is>
      </c>
      <c r="D120" s="13" t="inlineStr">
        <is>
          <t>10.1023/b:caco.0000024222.61114.18</t>
        </is>
      </c>
      <c r="E120" s="13" t="inlineStr">
        <is>
          <t>Include</t>
        </is>
      </c>
      <c r="F120" s="14" t="inlineStr">
        <is>
          <t>Included — narrative synthesis; 26 registries (~40% US)</t>
        </is>
      </c>
      <c r="G120" s="15" t="inlineStr"/>
      <c r="H120" s="15" t="inlineStr"/>
      <c r="I120" s="16" t="inlineStr"/>
    </row>
    <row r="121">
      <c r="A121" s="13" t="inlineStr">
        <is>
          <t>754</t>
        </is>
      </c>
      <c r="B121" s="14" t="inlineStr">
        <is>
          <t>Breast cancer incidence and stage at diagnosis in the six US-Affiliated Pacific  Islands (2024)</t>
        </is>
      </c>
      <c r="C121" s="13" t="inlineStr">
        <is>
          <t>38996557</t>
        </is>
      </c>
      <c r="D121" s="13" t="inlineStr">
        <is>
          <t>10.1016/j.canep.2024.102611</t>
        </is>
      </c>
      <c r="E121" s="13" t="inlineStr">
        <is>
          <t>Include</t>
        </is>
      </c>
      <c r="F121" s="14" t="inlineStr">
        <is>
          <t>Included — narrative synthesis; Pacific Regional Central Cancer Registry</t>
        </is>
      </c>
      <c r="G121" s="15" t="inlineStr"/>
      <c r="H121" s="15" t="inlineStr"/>
      <c r="I121" s="16" t="inlineStr"/>
    </row>
    <row r="122">
      <c r="A122" s="13" t="inlineStr">
        <is>
          <t>916</t>
        </is>
      </c>
      <c r="B122" s="14" t="inlineStr">
        <is>
          <t>Disparities in cancer incidence by rurality in California (2023)</t>
        </is>
      </c>
      <c r="C122" s="13" t="inlineStr">
        <is>
          <t>36622036</t>
        </is>
      </c>
      <c r="D122" s="13" t="inlineStr">
        <is>
          <t>10.1093/jnci/djac238</t>
        </is>
      </c>
      <c r="E122" s="13" t="inlineStr">
        <is>
          <t>Include</t>
        </is>
      </c>
      <c r="F122" s="14" t="inlineStr">
        <is>
          <t>Included — narrative synthesis; California Cancer Registry</t>
        </is>
      </c>
      <c r="G122" s="15" t="inlineStr"/>
      <c r="H122" s="15" t="inlineStr"/>
      <c r="I122" s="16" t="inlineStr"/>
    </row>
    <row r="123">
      <c r="A123" s="13" t="inlineStr">
        <is>
          <t>998</t>
        </is>
      </c>
      <c r="B123" s="14" t="inlineStr">
        <is>
          <t>Cancer-related risk factors and incidence of major cancers by race, gender and region; analysis of the NIH-AARP diet and health study (2017)</t>
        </is>
      </c>
      <c r="C123" s="13" t="inlineStr">
        <is>
          <t>28854891</t>
        </is>
      </c>
      <c r="D123" s="13" t="inlineStr">
        <is>
          <t>10.1186/s12885-017-3557-1</t>
        </is>
      </c>
      <c r="E123" s="13" t="inlineStr">
        <is>
          <t>Include</t>
        </is>
      </c>
      <c r="F123" s="14" t="inlineStr">
        <is>
          <t>Included — narrative synthesis; NIH-AARP cohort</t>
        </is>
      </c>
      <c r="G123" s="15" t="inlineStr"/>
      <c r="H123" s="15" t="inlineStr"/>
      <c r="I123" s="16" t="inlineStr"/>
    </row>
    <row r="124">
      <c r="A124" s="13" t="inlineStr">
        <is>
          <t>1101</t>
        </is>
      </c>
      <c r="B124" s="14" t="inlineStr">
        <is>
          <t>Cancer incidence in the Somali population of Olmsted County: A Rochester epidemiology project study (2023)</t>
        </is>
      </c>
      <c r="C124" s="13" t="inlineStr">
        <is>
          <t>37740603</t>
        </is>
      </c>
      <c r="D124" s="13" t="inlineStr">
        <is>
          <t>10.1002/cam4.6558</t>
        </is>
      </c>
      <c r="E124" s="13" t="inlineStr">
        <is>
          <t>Include</t>
        </is>
      </c>
      <c r="F124" s="14" t="inlineStr">
        <is>
          <t>Included — narrative synthesis; Rochester Epidemiology Project</t>
        </is>
      </c>
      <c r="G124" s="15" t="inlineStr"/>
      <c r="H124" s="15" t="inlineStr"/>
      <c r="I124" s="16" t="inlineStr"/>
    </row>
    <row r="125">
      <c r="A125" s="13" t="inlineStr">
        <is>
          <t>1106</t>
        </is>
      </c>
      <c r="B125" s="14" t="inlineStr">
        <is>
          <t>Cancer statistics for adolescents and young adults, 2020 (2020)</t>
        </is>
      </c>
      <c r="C125" s="13" t="inlineStr">
        <is>
          <t>32940362</t>
        </is>
      </c>
      <c r="D125" s="13" t="inlineStr">
        <is>
          <t>10.3322/caac.21637</t>
        </is>
      </c>
      <c r="E125" s="13" t="inlineStr">
        <is>
          <t>Include</t>
        </is>
      </c>
      <c r="F125" s="14" t="inlineStr">
        <is>
          <t>Included — narrative synthesis; multi-registry aggregate report</t>
        </is>
      </c>
      <c r="G125" s="15" t="inlineStr"/>
      <c r="H125" s="15" t="inlineStr"/>
      <c r="I125" s="16" t="inlineStr"/>
    </row>
    <row r="126">
      <c r="A126" s="13" t="inlineStr">
        <is>
          <t>1336</t>
        </is>
      </c>
      <c r="B126" s="14" t="inlineStr">
        <is>
          <t>Disparities in breast cancer incidence and survival by age, race, and molecular subtype in US women (2026)</t>
        </is>
      </c>
      <c r="C126" s="13" t="inlineStr"/>
      <c r="D126" s="13" t="inlineStr">
        <is>
          <t>10.1038/s41523-026-00935-y</t>
        </is>
      </c>
      <c r="E126" s="13" t="inlineStr">
        <is>
          <t>Include</t>
        </is>
      </c>
      <c r="F126" s="14" t="inlineStr">
        <is>
          <t>Included — narrative synthesis; SEER 8/17</t>
        </is>
      </c>
      <c r="G126" s="15" t="inlineStr"/>
      <c r="H126" s="15" t="inlineStr"/>
      <c r="I126" s="16" t="inlineStr"/>
    </row>
    <row r="127">
      <c r="A127" s="13" t="inlineStr">
        <is>
          <t>1398</t>
        </is>
      </c>
      <c r="B127" s="14" t="inlineStr">
        <is>
          <t>Early-Onset Cancer Incidence Disparities Between Black and White Individuals in the US, 2003-2022 (2026)</t>
        </is>
      </c>
      <c r="C127" s="13" t="inlineStr">
        <is>
          <t>41989785</t>
        </is>
      </c>
      <c r="D127" s="13" t="inlineStr">
        <is>
          <t>10.1001/jamanetworkopen.2026.7529</t>
        </is>
      </c>
      <c r="E127" s="13" t="inlineStr">
        <is>
          <t>Include</t>
        </is>
      </c>
      <c r="F127" s="14" t="inlineStr">
        <is>
          <t>Included — narrative synthesis; USCS</t>
        </is>
      </c>
      <c r="G127" s="15" t="inlineStr"/>
      <c r="H127" s="15" t="inlineStr"/>
      <c r="I127" s="16" t="inlineStr"/>
    </row>
    <row r="128">
      <c r="A128" s="13" t="inlineStr">
        <is>
          <t>1453</t>
        </is>
      </c>
      <c r="B128" s="14" t="inlineStr">
        <is>
          <t>American Cancer Society’s Report on the Status of Cancer Disparities in the United States, 2025 (2026)</t>
        </is>
      </c>
      <c r="C128" s="13" t="inlineStr">
        <is>
          <t>41400551</t>
        </is>
      </c>
      <c r="D128" s="13" t="inlineStr">
        <is>
          <t>10.3322/caac.70045</t>
        </is>
      </c>
      <c r="E128" s="13" t="inlineStr">
        <is>
          <t>Include</t>
        </is>
      </c>
      <c r="F128" s="14" t="inlineStr">
        <is>
          <t>Included — narrative synthesis; multi-registry aggregate report</t>
        </is>
      </c>
      <c r="G128" s="15" t="inlineStr"/>
      <c r="H128" s="15" t="inlineStr"/>
      <c r="I128" s="16" t="inlineStr"/>
    </row>
    <row r="129">
      <c r="A129" s="13" t="inlineStr">
        <is>
          <t>1457</t>
        </is>
      </c>
      <c r="B129" s="14" t="inlineStr">
        <is>
          <t>Cancer statistics, 2026 (2026)</t>
        </is>
      </c>
      <c r="C129" s="13" t="inlineStr">
        <is>
          <t>41528114</t>
        </is>
      </c>
      <c r="D129" s="13" t="inlineStr">
        <is>
          <t>10.3322/caac.70043</t>
        </is>
      </c>
      <c r="E129" s="13" t="inlineStr">
        <is>
          <t>Include</t>
        </is>
      </c>
      <c r="F129" s="14" t="inlineStr">
        <is>
          <t>Included — narrative synthesis; multi-registry aggregate report</t>
        </is>
      </c>
      <c r="G129" s="15" t="inlineStr"/>
      <c r="H129" s="15" t="inlineStr"/>
      <c r="I129" s="16" t="inlineStr"/>
    </row>
    <row r="130">
      <c r="A130" s="13" t="inlineStr">
        <is>
          <t>1629</t>
        </is>
      </c>
      <c r="B130" s="14" t="inlineStr">
        <is>
          <t>Inequalities in Fertility-Impacting Cancer Incidence Among Young Populations in the United States (2025)</t>
        </is>
      </c>
      <c r="C130" s="13" t="inlineStr">
        <is>
          <t>40189850</t>
        </is>
      </c>
      <c r="D130" s="13" t="inlineStr">
        <is>
          <t>10.1002/cam4.70797</t>
        </is>
      </c>
      <c r="E130" s="13" t="inlineStr">
        <is>
          <t>Include</t>
        </is>
      </c>
      <c r="F130" s="14" t="inlineStr">
        <is>
          <t>Included — narrative synthesis; SEER</t>
        </is>
      </c>
      <c r="G130" s="15" t="inlineStr"/>
      <c r="H130" s="15" t="inlineStr"/>
      <c r="I130" s="16" t="inlineStr"/>
    </row>
    <row r="131">
      <c r="A131" s="13" t="inlineStr">
        <is>
          <t>1637</t>
        </is>
      </c>
      <c r="B131" s="14" t="inlineStr">
        <is>
          <t>Cancer Incidence in the Hispanic Community Health Study/Study of Latinos (HCHS/SOL)—The Onco-SOL Ancillary Study (2025)</t>
        </is>
      </c>
      <c r="C131" s="13" t="inlineStr">
        <is>
          <t>39808161</t>
        </is>
      </c>
      <c r="D131" s="13" t="inlineStr">
        <is>
          <t>10.1158/1055-9965.epi-24-1325</t>
        </is>
      </c>
      <c r="E131" s="13" t="inlineStr">
        <is>
          <t>Include</t>
        </is>
      </c>
      <c r="F131" s="14" t="inlineStr">
        <is>
          <t>Included — narrative synthesis; HCHS/SOL + state registries</t>
        </is>
      </c>
      <c r="G131" s="15" t="inlineStr"/>
      <c r="H131" s="15" t="inlineStr"/>
      <c r="I131" s="16" t="inlineStr"/>
    </row>
    <row r="132">
      <c r="A132" s="13" t="inlineStr">
        <is>
          <t>1762</t>
        </is>
      </c>
      <c r="B132" s="14" t="inlineStr">
        <is>
          <t>Early-onset cancer incidence in the United States by race/ethnicity between 2011 and 2020 (2024)</t>
        </is>
      </c>
      <c r="C132" s="13" t="inlineStr">
        <is>
          <t>39094298</t>
        </is>
      </c>
      <c r="D132" s="13" t="inlineStr">
        <is>
          <t>10.1016/j.canep.2024.102632</t>
        </is>
      </c>
      <c r="E132" s="13" t="inlineStr">
        <is>
          <t>Include</t>
        </is>
      </c>
      <c r="F132" s="14" t="inlineStr">
        <is>
          <t>Included — narrative synthesis; SEER</t>
        </is>
      </c>
      <c r="G132" s="15" t="inlineStr"/>
      <c r="H132" s="15" t="inlineStr"/>
      <c r="I132" s="16" t="inlineStr"/>
    </row>
    <row r="133">
      <c r="A133" s="13" t="inlineStr">
        <is>
          <t>1800</t>
        </is>
      </c>
      <c r="B133" s="14" t="inlineStr">
        <is>
          <t>Rural–Urban Cancer Incidence and Trends in the United States, 2000 to 2019 (2024)</t>
        </is>
      </c>
      <c r="C133" s="13" t="inlineStr">
        <is>
          <t>38801414</t>
        </is>
      </c>
      <c r="D133" s="13" t="inlineStr">
        <is>
          <t>10.1158/1055-9965.epi-24-0072</t>
        </is>
      </c>
      <c r="E133" s="13" t="inlineStr">
        <is>
          <t>Include</t>
        </is>
      </c>
      <c r="F133" s="14" t="inlineStr">
        <is>
          <t>Included — narrative synthesis; SEER 22</t>
        </is>
      </c>
      <c r="G133" s="15" t="inlineStr"/>
      <c r="H133" s="15" t="inlineStr"/>
      <c r="I133" s="16" t="inlineStr"/>
    </row>
    <row r="134">
      <c r="A134" s="13" t="inlineStr">
        <is>
          <t>2302</t>
        </is>
      </c>
      <c r="B134" s="14" t="inlineStr">
        <is>
          <t>Breast Cancer Incidence Trends by Estrogen Receptor Status among Asian American Ethnic Groups, 1990-2014 (2021)</t>
        </is>
      </c>
      <c r="C134" s="13" t="inlineStr">
        <is>
          <t>33392441</t>
        </is>
      </c>
      <c r="D134" s="13" t="inlineStr">
        <is>
          <t>10.1093/jncics/pkaa005</t>
        </is>
      </c>
      <c r="E134" s="13" t="inlineStr">
        <is>
          <t>Include</t>
        </is>
      </c>
      <c r="F134" s="14" t="inlineStr">
        <is>
          <t>Included — narrative synthesis; SEER 9 + API</t>
        </is>
      </c>
      <c r="G134" s="15" t="inlineStr"/>
      <c r="H134" s="15" t="inlineStr"/>
      <c r="I134" s="16" t="inlineStr"/>
    </row>
    <row r="135">
      <c r="A135" s="13" t="inlineStr">
        <is>
          <t>2440</t>
        </is>
      </c>
      <c r="B135" s="14" t="inlineStr">
        <is>
          <t>Cancer incidence and associations with known risk and protective factors: the Alaska EARTH study (2019)</t>
        </is>
      </c>
      <c r="C135" s="13" t="inlineStr">
        <is>
          <t>31428891</t>
        </is>
      </c>
      <c r="D135" s="13" t="inlineStr">
        <is>
          <t>10.1007/s10552-019-01216-9</t>
        </is>
      </c>
      <c r="E135" s="13" t="inlineStr">
        <is>
          <t>Include</t>
        </is>
      </c>
      <c r="F135" s="14" t="inlineStr">
        <is>
          <t>Included — narrative synthesis; Alaska EARTH cohort (ANTR)</t>
        </is>
      </c>
      <c r="G135" s="15" t="inlineStr"/>
      <c r="H135" s="15" t="inlineStr"/>
      <c r="I135" s="16" t="inlineStr"/>
    </row>
    <row r="136">
      <c r="A136" s="13" t="inlineStr">
        <is>
          <t>2453</t>
        </is>
      </c>
      <c r="B136" s="14" t="inlineStr">
        <is>
          <t>Incidence and survival among young women with stage I-III breast cancer: Seer 2000-2015 (2019)</t>
        </is>
      </c>
      <c r="C136" s="13" t="inlineStr">
        <is>
          <t>31392297</t>
        </is>
      </c>
      <c r="D136" s="13" t="inlineStr">
        <is>
          <t>10.1093/jncics/pkz040</t>
        </is>
      </c>
      <c r="E136" s="13" t="inlineStr">
        <is>
          <t>Include</t>
        </is>
      </c>
      <c r="F136" s="14" t="inlineStr">
        <is>
          <t>Included — narrative synthesis; SEER 18</t>
        </is>
      </c>
      <c r="G136" s="15" t="inlineStr"/>
      <c r="H136" s="15" t="inlineStr"/>
      <c r="I136" s="16" t="inlineStr"/>
    </row>
    <row r="137">
      <c r="A137" s="13" t="inlineStr">
        <is>
          <t>2548</t>
        </is>
      </c>
      <c r="B137" s="14" t="inlineStr">
        <is>
          <t>Cancer patterns in Hmong in Minnesota, 2000 to 2012 (2018)</t>
        </is>
      </c>
      <c r="C137" s="13" t="inlineStr">
        <is>
          <t>29975407</t>
        </is>
      </c>
      <c r="D137" s="13" t="inlineStr">
        <is>
          <t>10.1002/cncr.31592</t>
        </is>
      </c>
      <c r="E137" s="13" t="inlineStr">
        <is>
          <t>Include</t>
        </is>
      </c>
      <c r="F137" s="14" t="inlineStr">
        <is>
          <t>Included — narrative synthesis; Minnesota Cancer Surveillance System</t>
        </is>
      </c>
      <c r="G137" s="15" t="inlineStr"/>
      <c r="H137" s="15" t="inlineStr"/>
      <c r="I137" s="16" t="inlineStr"/>
    </row>
    <row r="138">
      <c r="A138" s="13" t="inlineStr">
        <is>
          <t>2610</t>
        </is>
      </c>
      <c r="B138" s="14" t="inlineStr">
        <is>
          <t>The fluctuating incidence, improved survival of patients with breast cancer, and disparities by age, race, and socioeconomic status by decade, 1981–2010 (2018)</t>
        </is>
      </c>
      <c r="C138" s="13" t="inlineStr"/>
      <c r="D138" s="13" t="inlineStr">
        <is>
          <t>10.2147/cmar.s173099</t>
        </is>
      </c>
      <c r="E138" s="13" t="inlineStr">
        <is>
          <t>Include</t>
        </is>
      </c>
      <c r="F138" s="14" t="inlineStr">
        <is>
          <t>Included — narrative synthesis; SEER 9</t>
        </is>
      </c>
      <c r="G138" s="15" t="inlineStr"/>
      <c r="H138" s="15" t="inlineStr"/>
      <c r="I138" s="16" t="inlineStr"/>
    </row>
    <row r="139">
      <c r="A139" s="13" t="inlineStr">
        <is>
          <t>2732</t>
        </is>
      </c>
      <c r="B139" s="14" t="inlineStr">
        <is>
          <t>Incidence rate for breast cancer in Japanese in Japan and in the United States from the Cancer Incidence in Five Continents (2016)</t>
        </is>
      </c>
      <c r="C139" s="13" t="inlineStr"/>
      <c r="D139" s="13" t="inlineStr">
        <is>
          <t>10.1093/jjco/hyw119</t>
        </is>
      </c>
      <c r="E139" s="13" t="inlineStr">
        <is>
          <t>Include</t>
        </is>
      </c>
      <c r="F139" s="14" t="inlineStr">
        <is>
          <t>Included — narrative synthesis; CI5 + SEER 9/Hawaii</t>
        </is>
      </c>
      <c r="G139" s="15" t="inlineStr"/>
      <c r="H139" s="15" t="inlineStr"/>
      <c r="I139" s="16" t="inlineStr"/>
    </row>
    <row r="140">
      <c r="A140" s="13" t="inlineStr">
        <is>
          <t>3212</t>
        </is>
      </c>
      <c r="B140" s="14" t="inlineStr">
        <is>
          <t>Fifty years of cancer in an American Indian population (2009)</t>
        </is>
      </c>
      <c r="C140" s="13" t="inlineStr">
        <is>
          <t>19109819</t>
        </is>
      </c>
      <c r="D140" s="13" t="inlineStr">
        <is>
          <t>10.1002/cncr.24039</t>
        </is>
      </c>
      <c r="E140" s="13" t="inlineStr">
        <is>
          <t>Include</t>
        </is>
      </c>
      <c r="F140" s="14" t="inlineStr">
        <is>
          <t>Included — narrative synthesis; New York State Cancer Registry</t>
        </is>
      </c>
      <c r="G140" s="15" t="inlineStr"/>
      <c r="H140" s="15" t="inlineStr"/>
      <c r="I140" s="16" t="inlineStr"/>
    </row>
    <row r="141">
      <c r="A141" s="13" t="inlineStr">
        <is>
          <t>3228</t>
        </is>
      </c>
      <c r="B141" s="14" t="inlineStr">
        <is>
          <t>Cancer health disparities among Indian and Pakistani immigrants in the United States a Surveillance, Epidemiology, and End Results-based study from 1988 to 2003 (2008)</t>
        </is>
      </c>
      <c r="C141" s="13" t="inlineStr">
        <is>
          <t>18696716</t>
        </is>
      </c>
      <c r="D141" s="13" t="inlineStr">
        <is>
          <t>10.1002/cncr.23686</t>
        </is>
      </c>
      <c r="E141" s="13" t="inlineStr">
        <is>
          <t>Include</t>
        </is>
      </c>
      <c r="F141" s="14" t="inlineStr">
        <is>
          <t>Included — narrative synthesis; SEER 17</t>
        </is>
      </c>
      <c r="G141" s="15" t="inlineStr"/>
      <c r="H141" s="15" t="inlineStr"/>
      <c r="I141" s="16" t="inlineStr"/>
    </row>
    <row r="142">
      <c r="A142" s="13" t="inlineStr">
        <is>
          <t>3230</t>
        </is>
      </c>
      <c r="B142" s="14" t="inlineStr">
        <is>
          <t>Cancer in American Indian and Alaska Native Young Adults (Ages 20-44 Years): US, 1999-2004 (2008)</t>
        </is>
      </c>
      <c r="C142" s="13" t="inlineStr">
        <is>
          <t>18720386</t>
        </is>
      </c>
      <c r="D142" s="13" t="inlineStr">
        <is>
          <t>10.1002/cncr.23731</t>
        </is>
      </c>
      <c r="E142" s="13" t="inlineStr">
        <is>
          <t>Include</t>
        </is>
      </c>
      <c r="F142" s="14" t="inlineStr">
        <is>
          <t>Included — narrative synthesis; NPCR+SEER (IHS-linked)</t>
        </is>
      </c>
      <c r="G142" s="15" t="inlineStr"/>
      <c r="H142" s="15" t="inlineStr"/>
      <c r="I142" s="16" t="inlineStr"/>
    </row>
    <row r="143">
      <c r="A143" s="13" t="inlineStr">
        <is>
          <t>3247</t>
        </is>
      </c>
      <c r="B143" s="14" t="inlineStr">
        <is>
          <t>Cancer incidence rates among South Asians in four geographic regions: India, Singapore, UK and US (2008)</t>
        </is>
      </c>
      <c r="C143" s="13" t="inlineStr">
        <is>
          <t>18094016</t>
        </is>
      </c>
      <c r="D143" s="13" t="inlineStr">
        <is>
          <t>10.1093/ije/dym219</t>
        </is>
      </c>
      <c r="E143" s="13" t="inlineStr">
        <is>
          <t>Include</t>
        </is>
      </c>
      <c r="F143" s="14" t="inlineStr">
        <is>
          <t>Included — narrative synthesis; SEER 11 + state</t>
        </is>
      </c>
      <c r="G143" s="15" t="inlineStr"/>
      <c r="H143" s="15" t="inlineStr"/>
      <c r="I143" s="16" t="inlineStr"/>
    </row>
    <row r="144">
      <c r="A144" s="13" t="inlineStr">
        <is>
          <t>3275</t>
        </is>
      </c>
      <c r="B144" s="14" t="inlineStr">
        <is>
          <t>Cancer incidence in the Middle Eastern population of California, 1988-2004. (2007)</t>
        </is>
      </c>
      <c r="C144" s="13" t="inlineStr">
        <is>
          <t>18159978</t>
        </is>
      </c>
      <c r="D144" s="13" t="inlineStr"/>
      <c r="E144" s="13" t="inlineStr">
        <is>
          <t>Include</t>
        </is>
      </c>
      <c r="F144" s="14" t="inlineStr">
        <is>
          <t>Included — narrative synthesis; California Cancer Registry</t>
        </is>
      </c>
      <c r="G144" s="15" t="inlineStr"/>
      <c r="H144" s="15" t="inlineStr"/>
      <c r="I144" s="16" t="inlineStr"/>
    </row>
    <row r="145">
      <c r="A145" s="13" t="inlineStr">
        <is>
          <t>3288</t>
        </is>
      </c>
      <c r="B145" s="14" t="inlineStr">
        <is>
          <t>Cancer incidence among Korean-American immigrants in the United States and native Koreans in South Korea (2007)</t>
        </is>
      </c>
      <c r="C145" s="13" t="inlineStr">
        <is>
          <t>17242674</t>
        </is>
      </c>
      <c r="D145" s="13" t="inlineStr">
        <is>
          <t>10.1177/107327480701400111</t>
        </is>
      </c>
      <c r="E145" s="13" t="inlineStr">
        <is>
          <t>Include</t>
        </is>
      </c>
      <c r="F145" s="14" t="inlineStr">
        <is>
          <t>Included — narrative synthesis; SEER</t>
        </is>
      </c>
      <c r="G145" s="15" t="inlineStr"/>
      <c r="H145" s="15" t="inlineStr"/>
      <c r="I145" s="16" t="inlineStr"/>
    </row>
    <row r="146">
      <c r="A146" s="13" t="inlineStr">
        <is>
          <t>3322</t>
        </is>
      </c>
      <c r="B146" s="14" t="inlineStr">
        <is>
          <t>Cancer incidence in the South Asian population of California, 1988-2000 (2005)</t>
        </is>
      </c>
      <c r="C146" s="13" t="inlineStr"/>
      <c r="D146" s="13" t="inlineStr">
        <is>
          <t>10.1186/1477-3163-4-21</t>
        </is>
      </c>
      <c r="E146" s="13" t="inlineStr">
        <is>
          <t>Include</t>
        </is>
      </c>
      <c r="F146" s="14" t="inlineStr">
        <is>
          <t>Included — narrative synthesis; California Cancer Registry</t>
        </is>
      </c>
      <c r="G146" s="15" t="inlineStr"/>
      <c r="H146" s="15" t="inlineStr"/>
      <c r="I146" s="16" t="inlineStr"/>
    </row>
    <row r="147">
      <c r="A147" s="13" t="inlineStr">
        <is>
          <t>3360</t>
        </is>
      </c>
      <c r="B147" s="14" t="inlineStr">
        <is>
          <t>The effect of migration on cancer incidence among Japanese in Hawaii (2004)</t>
        </is>
      </c>
      <c r="C147" s="13" t="inlineStr">
        <is>
          <t>15328946</t>
        </is>
      </c>
      <c r="D147" s="13" t="inlineStr"/>
      <c r="E147" s="13" t="inlineStr">
        <is>
          <t>Include</t>
        </is>
      </c>
      <c r="F147" s="14" t="inlineStr">
        <is>
          <t>Included — narrative synthesis; Hawaii Tumor Registry</t>
        </is>
      </c>
      <c r="G147" s="15" t="inlineStr"/>
      <c r="H147" s="15" t="inlineStr"/>
      <c r="I147" s="16" t="inlineStr"/>
    </row>
    <row r="148">
      <c r="A148" s="13" t="inlineStr">
        <is>
          <t>3394</t>
        </is>
      </c>
      <c r="B148" s="14" t="inlineStr">
        <is>
          <t>Cancer in the Minnesota Hmong population (2003)</t>
        </is>
      </c>
      <c r="C148" s="13" t="inlineStr">
        <is>
          <t>12784344</t>
        </is>
      </c>
      <c r="D148" s="13" t="inlineStr">
        <is>
          <t>10.1002/cncr.11443</t>
        </is>
      </c>
      <c r="E148" s="13" t="inlineStr">
        <is>
          <t>Include</t>
        </is>
      </c>
      <c r="F148" s="14" t="inlineStr">
        <is>
          <t>Included — narrative synthesis; Minnesota Cancer Surveillance System</t>
        </is>
      </c>
      <c r="G148" s="15" t="inlineStr"/>
      <c r="H148" s="15" t="inlineStr"/>
      <c r="I148" s="16" t="inlineStr"/>
    </row>
    <row r="149">
      <c r="A149" s="13" t="inlineStr">
        <is>
          <t>3640</t>
        </is>
      </c>
      <c r="B149" s="14" t="inlineStr">
        <is>
          <t>Structural Racism and Triple-Negative Breast Cancer among Black and White Women in the United States (2022)</t>
        </is>
      </c>
      <c r="C149" s="13" t="inlineStr"/>
      <c r="D149" s="13" t="inlineStr">
        <is>
          <t>10.1089/heq.2021.0041</t>
        </is>
      </c>
      <c r="E149" s="13" t="inlineStr">
        <is>
          <t>Include</t>
        </is>
      </c>
      <c r="F149" s="14" t="inlineStr">
        <is>
          <t>Included — narrative synthesis; SEER 18</t>
        </is>
      </c>
      <c r="G149" s="15" t="inlineStr"/>
      <c r="H149" s="15" t="inlineStr"/>
      <c r="I149" s="16" t="inlineStr"/>
    </row>
    <row r="150">
      <c r="A150" s="13" t="inlineStr">
        <is>
          <t>3780</t>
        </is>
      </c>
      <c r="B150" s="14" t="inlineStr">
        <is>
          <t>Risk of cancer in Asian Americans: a Kaiser Permanente cohort study (2016)</t>
        </is>
      </c>
      <c r="C150" s="13" t="inlineStr"/>
      <c r="D150" s="13" t="inlineStr">
        <is>
          <t>10.1007/s10552-016-0798-2</t>
        </is>
      </c>
      <c r="E150" s="13" t="inlineStr">
        <is>
          <t>Include</t>
        </is>
      </c>
      <c r="F150" s="14" t="inlineStr">
        <is>
          <t>Included — narrative synthesis; Kaiser Permanente (cohort)</t>
        </is>
      </c>
      <c r="G150" s="15" t="inlineStr"/>
      <c r="H150" s="15" t="inlineStr"/>
      <c r="I150" s="16" t="inlineStr"/>
    </row>
    <row r="151">
      <c r="A151" s="13" t="inlineStr">
        <is>
          <t>3845</t>
        </is>
      </c>
      <c r="B151" s="14" t="inlineStr">
        <is>
          <t>Characterizing inflammatory breast cancer among Arab Americans in the California, Detroit and New Jersey Surveillance, Epidemiology and End Results (SEER) registries (1988-2008) (2013)</t>
        </is>
      </c>
      <c r="C151" s="13" t="inlineStr"/>
      <c r="D151" s="13" t="inlineStr">
        <is>
          <t>10.1186/2193-1801-2-3</t>
        </is>
      </c>
      <c r="E151" s="13" t="inlineStr">
        <is>
          <t>Include</t>
        </is>
      </c>
      <c r="F151" s="14" t="inlineStr">
        <is>
          <t>Included — narrative synthesis; SEER (CA/Detroit/NJ)</t>
        </is>
      </c>
      <c r="G151" s="15" t="inlineStr"/>
      <c r="H151" s="15" t="inlineStr"/>
      <c r="I151" s="16" t="inlineStr"/>
    </row>
    <row r="152">
      <c r="A152" s="13" t="inlineStr">
        <is>
          <t>3861</t>
        </is>
      </c>
      <c r="B152" s="14" t="inlineStr">
        <is>
          <t>Asian ethnicity and breast cancer subtypes: A study from the California Cancer Registry (2011)</t>
        </is>
      </c>
      <c r="C152" s="13" t="inlineStr"/>
      <c r="D152" s="13" t="inlineStr">
        <is>
          <t>10.1007/s10549-010-1173-8</t>
        </is>
      </c>
      <c r="E152" s="13" t="inlineStr">
        <is>
          <t>Include</t>
        </is>
      </c>
      <c r="F152" s="14" t="inlineStr">
        <is>
          <t>Included — narrative synthesis; California Cancer Registry</t>
        </is>
      </c>
      <c r="G152" s="15" t="inlineStr"/>
      <c r="H152" s="15" t="inlineStr"/>
      <c r="I152" s="16" t="inlineStr"/>
    </row>
    <row r="153">
      <c r="A153" s="13" t="inlineStr">
        <is>
          <t>3891</t>
        </is>
      </c>
      <c r="B153" s="14" t="inlineStr">
        <is>
          <t>Changes in cancer incidence patterns among a northeastern American Indian population: 1955-1969 versus 1990-2004 (2009)</t>
        </is>
      </c>
      <c r="C153" s="13" t="inlineStr"/>
      <c r="D153" s="13" t="inlineStr">
        <is>
          <t>10.1111/j.1748-0361.2009.00247.x</t>
        </is>
      </c>
      <c r="E153" s="13" t="inlineStr">
        <is>
          <t>Include</t>
        </is>
      </c>
      <c r="F153" s="14" t="inlineStr">
        <is>
          <t>Included — narrative synthesis; New York State Cancer Registry (IHS-linked)</t>
        </is>
      </c>
      <c r="G153" s="15" t="inlineStr"/>
      <c r="H153" s="15" t="inlineStr"/>
      <c r="I153" s="16" t="inlineStr"/>
    </row>
    <row r="154">
      <c r="A154" s="13" t="inlineStr">
        <is>
          <t>3999</t>
        </is>
      </c>
      <c r="B154" s="14" t="inlineStr">
        <is>
          <t>Cancer incidence patterns among Vietnamese in the United States and Ha Noi, Vietnam (2002)</t>
        </is>
      </c>
      <c r="C154" s="13" t="inlineStr"/>
      <c r="D154" s="13" t="inlineStr">
        <is>
          <t>10.1002/ijc.10725</t>
        </is>
      </c>
      <c r="E154" s="13" t="inlineStr">
        <is>
          <t>Include</t>
        </is>
      </c>
      <c r="F154" s="14" t="inlineStr">
        <is>
          <t>Included — narrative synthesis; California Cancer Registry + SEER</t>
        </is>
      </c>
      <c r="G154" s="15" t="inlineStr"/>
      <c r="H154" s="15" t="inlineStr"/>
      <c r="I154" s="16" t="inlineStr"/>
    </row>
    <row r="155">
      <c r="A155" s="13" t="inlineStr">
        <is>
          <t>4026</t>
        </is>
      </c>
      <c r="B155" s="14" t="inlineStr">
        <is>
          <t>Incidence of selected cancers in Non-Hispanic American Indian and Alaska Native adolescent and young adult populations, 1999-2019 (2023)</t>
        </is>
      </c>
      <c r="C155" s="13" t="inlineStr">
        <is>
          <t>37119997</t>
        </is>
      </c>
      <c r="D155" s="13" t="inlineStr">
        <is>
          <t>10.1016/j.annepidem.2023.04.016</t>
        </is>
      </c>
      <c r="E155" s="13" t="inlineStr">
        <is>
          <t>Include</t>
        </is>
      </c>
      <c r="F155" s="14" t="inlineStr">
        <is>
          <t>Included — narrative synthesis; NPCR+SEER (IHS-linked)</t>
        </is>
      </c>
      <c r="G155" s="15" t="inlineStr"/>
      <c r="H155" s="15" t="inlineStr"/>
      <c r="I155" s="16" t="inlineStr"/>
    </row>
    <row r="156">
      <c r="A156" s="13" t="inlineStr">
        <is>
          <t>4039</t>
        </is>
      </c>
      <c r="B156" s="14" t="inlineStr">
        <is>
          <t>Racial/ethnic patterns in lifetime and age-conditional risk estimates for selected cancers (2006)</t>
        </is>
      </c>
      <c r="C156" s="13" t="inlineStr">
        <is>
          <t>16388524</t>
        </is>
      </c>
      <c r="D156" s="13" t="inlineStr">
        <is>
          <t>10.1002/cncr.21647</t>
        </is>
      </c>
      <c r="E156" s="13" t="inlineStr">
        <is>
          <t>Include</t>
        </is>
      </c>
      <c r="F156" s="14" t="inlineStr">
        <is>
          <t>Included — narrative synthesis; SEER</t>
        </is>
      </c>
      <c r="G156" s="15" t="inlineStr"/>
      <c r="H156" s="15" t="inlineStr"/>
      <c r="I156" s="16" t="inlineStr"/>
    </row>
    <row r="157">
      <c r="A157" s="13" t="inlineStr">
        <is>
          <t>4043</t>
        </is>
      </c>
      <c r="B157" s="14" t="inlineStr">
        <is>
          <t>Trends in Breast Cancer Incidence and Mortality in the United States From 2004-2018: A Surveillance, Epidemiology, and End Results (SEER)-Based Study (2023)</t>
        </is>
      </c>
      <c r="C157" s="13" t="inlineStr">
        <is>
          <t>37223193</t>
        </is>
      </c>
      <c r="D157" s="13" t="inlineStr">
        <is>
          <t>10.7759/cureus.37982</t>
        </is>
      </c>
      <c r="E157" s="13" t="inlineStr">
        <is>
          <t>Include</t>
        </is>
      </c>
      <c r="F157" s="14" t="inlineStr">
        <is>
          <t>Included — narrative synthesis; SEER</t>
        </is>
      </c>
      <c r="G157" s="15" t="inlineStr"/>
      <c r="H157" s="15" t="inlineStr"/>
      <c r="I157" s="16" t="inlineStr"/>
    </row>
    <row r="158">
      <c r="A158" s="13" t="inlineStr">
        <is>
          <t>4058</t>
        </is>
      </c>
      <c r="B158" s="14" t="inlineStr">
        <is>
          <t>White-Black Differences in Cancer Incidence, Stage at Diagnosis, and Survival Among Older Adults (2018)</t>
        </is>
      </c>
      <c r="C158" s="13" t="inlineStr">
        <is>
          <t>28553811</t>
        </is>
      </c>
      <c r="D158" s="13" t="inlineStr">
        <is>
          <t>10.1177/0898264317696777</t>
        </is>
      </c>
      <c r="E158" s="13" t="inlineStr">
        <is>
          <t>Include</t>
        </is>
      </c>
      <c r="F158" s="14" t="inlineStr">
        <is>
          <t>Included — narrative synthesis; SEER 18</t>
        </is>
      </c>
      <c r="G158" s="15" t="inlineStr"/>
      <c r="H158" s="15" t="inlineStr"/>
      <c r="I158" s="16" t="inlineStr"/>
    </row>
    <row r="159">
      <c r="A159" s="13" t="inlineStr">
        <is>
          <t>4082</t>
        </is>
      </c>
      <c r="B159" s="14" t="inlineStr">
        <is>
          <t>Annual Report to the Nation on the Status of Cancer, featuring state-level statistics after the onset of the COVID-19 pandemic (2025)</t>
        </is>
      </c>
      <c r="C159" s="13" t="inlineStr">
        <is>
          <t>40257373</t>
        </is>
      </c>
      <c r="D159" s="13" t="inlineStr">
        <is>
          <t>10.1002/cncr.35833</t>
        </is>
      </c>
      <c r="E159" s="13" t="inlineStr">
        <is>
          <t>Include</t>
        </is>
      </c>
      <c r="F159" s="14" t="inlineStr">
        <is>
          <t>Included — narrative synthesis; multi-registry aggregate report</t>
        </is>
      </c>
      <c r="G159" s="15" t="inlineStr"/>
      <c r="H159" s="15" t="inlineStr"/>
      <c r="I159" s="16" t="inlineStr"/>
    </row>
    <row r="160">
      <c r="A160" s="13" t="inlineStr">
        <is>
          <t>4147</t>
        </is>
      </c>
      <c r="B160" s="14" t="inlineStr">
        <is>
          <t>AN EXCESS OF BREAST CANCER AMONG YOUNG CALIFORNIA-BORN ASIAN WOMEN (2011)</t>
        </is>
      </c>
      <c r="C160" s="13" t="inlineStr">
        <is>
          <t>21749024</t>
        </is>
      </c>
      <c r="D160" s="13" t="inlineStr"/>
      <c r="E160" s="13" t="inlineStr">
        <is>
          <t>Include</t>
        </is>
      </c>
      <c r="F160" s="14" t="inlineStr">
        <is>
          <t>Included — narrative synthesis; California Cancer Registry</t>
        </is>
      </c>
      <c r="G160" s="15" t="inlineStr"/>
      <c r="H160" s="15" t="inlineStr"/>
      <c r="I160" s="16" t="inlineStr"/>
    </row>
    <row r="161">
      <c r="A161" s="13" t="inlineStr">
        <is>
          <t>4294</t>
        </is>
      </c>
      <c r="B161" s="14" t="inlineStr">
        <is>
          <t>Cancer statistics for African American and Black people, 2025 (2025)</t>
        </is>
      </c>
      <c r="C161" s="13" t="inlineStr">
        <is>
          <t>39976243</t>
        </is>
      </c>
      <c r="D161" s="13" t="inlineStr">
        <is>
          <t>10.3322/caac.21874</t>
        </is>
      </c>
      <c r="E161" s="13" t="inlineStr">
        <is>
          <t>Include</t>
        </is>
      </c>
      <c r="F161" s="14" t="inlineStr">
        <is>
          <t>Included — narrative synthesis; multi-registry aggregate report</t>
        </is>
      </c>
      <c r="G161" s="15" t="inlineStr"/>
      <c r="H161" s="15" t="inlineStr"/>
      <c r="I161" s="16" t="inlineStr"/>
    </row>
    <row r="162">
      <c r="A162" s="13" t="inlineStr">
        <is>
          <t>4336</t>
        </is>
      </c>
      <c r="B162" s="14" t="inlineStr">
        <is>
          <t>Cancer Incidence Profile in Sub-Saharan African-Born Blacks in the United States: Similarities and Differences With US-Born Non-Hispanic Blacks (2017)</t>
        </is>
      </c>
      <c r="C162" s="13" t="inlineStr">
        <is>
          <t>28407201</t>
        </is>
      </c>
      <c r="D162" s="13" t="inlineStr">
        <is>
          <t>10.1002/cncr.30701</t>
        </is>
      </c>
      <c r="E162" s="13" t="inlineStr">
        <is>
          <t>Include</t>
        </is>
      </c>
      <c r="F162" s="14" t="inlineStr">
        <is>
          <t>Included — narrative synthesis; SEER 17</t>
        </is>
      </c>
      <c r="G162" s="15" t="inlineStr"/>
      <c r="H162" s="15" t="inlineStr"/>
      <c r="I162" s="16" t="inlineStr"/>
    </row>
    <row r="163">
      <c r="A163" s="13" t="inlineStr">
        <is>
          <t>4389</t>
        </is>
      </c>
      <c r="B163" s="14" t="inlineStr">
        <is>
          <t>Differences in the cancer burden among foreign-born and US-born Arab Americans living in metropolitan Detroit (2013)</t>
        </is>
      </c>
      <c r="C163" s="13" t="inlineStr">
        <is>
          <t>24013772</t>
        </is>
      </c>
      <c r="D163" s="13" t="inlineStr">
        <is>
          <t>10.1007/s10552-013-0271-4</t>
        </is>
      </c>
      <c r="E163" s="13" t="inlineStr">
        <is>
          <t>Include</t>
        </is>
      </c>
      <c r="F163" s="14" t="inlineStr">
        <is>
          <t>Included — narrative synthesis; Metropolitan Detroit (MDCSS)</t>
        </is>
      </c>
      <c r="G163" s="15" t="inlineStr"/>
      <c r="H163" s="15" t="inlineStr"/>
      <c r="I163" s="16" t="inlineStr"/>
    </row>
    <row r="164">
      <c r="A164" s="13" t="inlineStr">
        <is>
          <t>4429</t>
        </is>
      </c>
      <c r="B164" s="14" t="inlineStr">
        <is>
          <t>Cancer risk in different generations of Middle Eastern immigrants to California, 1988-2013 (2017)</t>
        </is>
      </c>
      <c r="C164" s="13" t="inlineStr">
        <is>
          <t>28801942</t>
        </is>
      </c>
      <c r="D164" s="13" t="inlineStr">
        <is>
          <t>10.1002/ijc.30928</t>
        </is>
      </c>
      <c r="E164" s="13" t="inlineStr">
        <is>
          <t>Include</t>
        </is>
      </c>
      <c r="F164" s="14" t="inlineStr">
        <is>
          <t>Included — narrative synthesis; California Cancer Registry</t>
        </is>
      </c>
      <c r="G164" s="15" t="inlineStr"/>
      <c r="H164" s="15" t="inlineStr"/>
      <c r="I164" s="16" t="inlineStr"/>
    </row>
    <row r="165">
      <c r="A165" s="13" t="inlineStr">
        <is>
          <t>5</t>
        </is>
      </c>
      <c r="B165" s="14" t="inlineStr">
        <is>
          <t>Stage IV Breast Cancer Incidence and Survival, 2010-202 (2026)</t>
        </is>
      </c>
      <c r="C165" s="13" t="inlineStr">
        <is>
          <t>42118535</t>
        </is>
      </c>
      <c r="D165" s="13" t="inlineStr">
        <is>
          <t>10.1001/jamanetworkopen.2026.12042</t>
        </is>
      </c>
      <c r="E165" s="13" t="inlineStr">
        <is>
          <t>Exclude</t>
        </is>
      </c>
      <c r="F165" s="14" t="inlineStr">
        <is>
          <t>Did not report the outcome of interest — stage IV-specific incidence not overall invasive by race vs NHW</t>
        </is>
      </c>
      <c r="G165" s="15" t="inlineStr"/>
      <c r="H165" s="15" t="inlineStr"/>
      <c r="I165" s="16" t="inlineStr"/>
    </row>
    <row r="166">
      <c r="A166" s="13" t="inlineStr">
        <is>
          <t>79</t>
        </is>
      </c>
      <c r="B166" s="14" t="inlineStr">
        <is>
          <t>Breast cancer among hispanic and non-hispanic white women in Arizona (2007)</t>
        </is>
      </c>
      <c r="C166" s="13" t="inlineStr">
        <is>
          <t>18065856</t>
        </is>
      </c>
      <c r="D166" s="13" t="inlineStr"/>
      <c r="E166" s="13" t="inlineStr">
        <is>
          <t>Exclude</t>
        </is>
      </c>
      <c r="F166" s="14" t="inlineStr">
        <is>
          <t>Did not report the outcome of interest — tumor-characteristic odds (stage/size) NHW-ref; no age-adjusted incidence rate per 100k reported</t>
        </is>
      </c>
      <c r="G166" s="15" t="inlineStr"/>
      <c r="H166" s="15" t="inlineStr"/>
      <c r="I166" s="16" t="inlineStr"/>
    </row>
    <row r="167">
      <c r="A167" s="13" t="inlineStr">
        <is>
          <t>251</t>
        </is>
      </c>
      <c r="B167" s="14" t="inlineStr">
        <is>
          <t>Triple-negative breast cancer incidence in the United States: ecological correlations with area-level sociodemographics, healthcare, and health behaviors (2021)</t>
        </is>
      </c>
      <c r="C167" s="13" t="inlineStr">
        <is>
          <t>32671723</t>
        </is>
      </c>
      <c r="D167" s="13" t="inlineStr">
        <is>
          <t>10.1007/s12282-020-01132-w</t>
        </is>
      </c>
      <c r="E167" s="13" t="inlineStr">
        <is>
          <t>Exclude</t>
        </is>
      </c>
      <c r="F167" s="14" t="inlineStr">
        <is>
          <t>Did not report the outcome of interest — ecological area-level TNBC correlates; no race-specific incidence vs NHW</t>
        </is>
      </c>
      <c r="G167" s="15" t="inlineStr"/>
      <c r="H167" s="15" t="inlineStr"/>
      <c r="I167" s="16" t="inlineStr"/>
    </row>
    <row r="168">
      <c r="A168" s="13" t="inlineStr">
        <is>
          <t>277</t>
        </is>
      </c>
      <c r="B168" s="14" t="inlineStr">
        <is>
          <t>Race/Ethnicity and Age Distribution of Breast Cancer Diagnosis in the United  States (2018)</t>
        </is>
      </c>
      <c r="C168" s="13" t="inlineStr">
        <is>
          <t>29516087</t>
        </is>
      </c>
      <c r="D168" s="13" t="inlineStr">
        <is>
          <t>10.1001/jamasurg.2018.0035</t>
        </is>
      </c>
      <c r="E168" s="13" t="inlineStr">
        <is>
          <t>Exclude</t>
        </is>
      </c>
      <c r="F168" s="14" t="inlineStr">
        <is>
          <t>Did not report the outcome of interest — JAMA research letter; reports age distribution &amp; stage NOT age-adjusted incidence rates</t>
        </is>
      </c>
      <c r="G168" s="15" t="inlineStr"/>
      <c r="H168" s="15" t="inlineStr"/>
      <c r="I168" s="16" t="inlineStr"/>
    </row>
    <row r="169">
      <c r="A169" s="13" t="inlineStr">
        <is>
          <t>278</t>
        </is>
      </c>
      <c r="B169" s="14" t="inlineStr">
        <is>
          <t>Incidence of breast cancer with distant involvement among women in the United States, 1976 to 2009 (2013)</t>
        </is>
      </c>
      <c r="C169" s="13" t="inlineStr">
        <is>
          <t>23443443</t>
        </is>
      </c>
      <c r="D169" s="13" t="inlineStr">
        <is>
          <t>10.1001/jama.2013.776</t>
        </is>
      </c>
      <c r="E169" s="13" t="inlineStr">
        <is>
          <t>Exclude</t>
        </is>
      </c>
      <c r="F169" s="14" t="inlineStr">
        <is>
          <t>Did not report the outcome of interest — advanced/distant-involvement incidence not overall invasive by race</t>
        </is>
      </c>
      <c r="G169" s="15" t="inlineStr"/>
      <c r="H169" s="15" t="inlineStr"/>
      <c r="I169" s="16" t="inlineStr"/>
    </row>
    <row r="170">
      <c r="A170" s="13" t="inlineStr">
        <is>
          <t>321</t>
        </is>
      </c>
      <c r="B170" s="14" t="inlineStr">
        <is>
          <t>Risks of developing breast and colorectal cancer in association with incomes and geographic locations in Texas: A retrospective cohort study (2016)</t>
        </is>
      </c>
      <c r="C170" s="13" t="inlineStr">
        <is>
          <t>27118258</t>
        </is>
      </c>
      <c r="D170" s="13" t="inlineStr">
        <is>
          <t>10.1186/s12885-016-2324-z</t>
        </is>
      </c>
      <c r="E170" s="13" t="inlineStr">
        <is>
          <t>Exclude</t>
        </is>
      </c>
      <c r="F170" s="14" t="inlineStr">
        <is>
          <t>Did not report the outcome of interest — Texas breast incidence by income/geography; stratified by SES not race/ethnicity vs NHW</t>
        </is>
      </c>
      <c r="G170" s="15" t="inlineStr"/>
      <c r="H170" s="15" t="inlineStr"/>
      <c r="I170" s="16" t="inlineStr"/>
    </row>
    <row r="171">
      <c r="A171" s="13" t="inlineStr">
        <is>
          <t>385</t>
        </is>
      </c>
      <c r="B171" s="14" t="inlineStr">
        <is>
          <t>Disparities in Stage at Presentation for Disaggregated Asian American, Native Hawaiian, and Pacific Islander Patients with Breast Cancer (2025)</t>
        </is>
      </c>
      <c r="C171" s="13" t="inlineStr"/>
      <c r="D171" s="13" t="inlineStr">
        <is>
          <t>10.1245/s10434-025-16974-x</t>
        </is>
      </c>
      <c r="E171" s="13" t="inlineStr">
        <is>
          <t>Exclude</t>
        </is>
      </c>
      <c r="F171" s="14" t="inlineStr">
        <is>
          <t>Did not report the outcome of interest — outcome is advanced-stage odds not incidence rates</t>
        </is>
      </c>
      <c r="G171" s="15" t="inlineStr"/>
      <c r="H171" s="15" t="inlineStr"/>
      <c r="I171" s="16" t="inlineStr"/>
    </row>
    <row r="172">
      <c r="A172" s="13" t="inlineStr">
        <is>
          <t>985</t>
        </is>
      </c>
      <c r="B172" s="14" t="inlineStr">
        <is>
          <t>The risk of developing breast cancer within the next 5, 10, or 20 years of a woman's life (2001)</t>
        </is>
      </c>
      <c r="C172" s="13" t="inlineStr">
        <is>
          <t>11275449</t>
        </is>
      </c>
      <c r="D172" s="13" t="inlineStr">
        <is>
          <t>10.1016/s0749-3797(00)00314-7</t>
        </is>
      </c>
      <c r="E172" s="13" t="inlineStr">
        <is>
          <t>Exclude</t>
        </is>
      </c>
      <c r="F172" s="14" t="inlineStr">
        <is>
          <t>Did not report the outcome of interest — age-conditional/lifetime risk overall California women; NOT stratified by race/ethnicity</t>
        </is>
      </c>
      <c r="G172" s="15" t="inlineStr"/>
      <c r="H172" s="15" t="inlineStr"/>
      <c r="I172" s="16" t="inlineStr"/>
    </row>
    <row r="173">
      <c r="A173" s="13" t="inlineStr">
        <is>
          <t>1015</t>
        </is>
      </c>
      <c r="B173" s="14" t="inlineStr">
        <is>
          <t>Breast cancer trends among young women in the United States (2006)</t>
        </is>
      </c>
      <c r="C173" s="13" t="inlineStr">
        <is>
          <t>16804474</t>
        </is>
      </c>
      <c r="D173" s="13" t="inlineStr">
        <is>
          <t>10.1097/01.ede.0000229195.98786.ee</t>
        </is>
      </c>
      <c r="E173" s="13" t="inlineStr">
        <is>
          <t>Exclude</t>
        </is>
      </c>
      <c r="F173" s="14" t="inlineStr">
        <is>
          <t>Did not report the outcome of interest — young women incidence trends by age; NOT stratified by race/ethnicity</t>
        </is>
      </c>
      <c r="G173" s="15" t="inlineStr"/>
      <c r="H173" s="15" t="inlineStr"/>
      <c r="I173" s="16" t="inlineStr"/>
    </row>
    <row r="174">
      <c r="A174" s="13" t="inlineStr">
        <is>
          <t>1470</t>
        </is>
      </c>
      <c r="B174" s="14" t="inlineStr">
        <is>
          <t>Breast Cancer Incidence in Asian American, Native Hawaiian, and Pacific Islander Populations (2026)</t>
        </is>
      </c>
      <c r="C174" s="13" t="inlineStr">
        <is>
          <t>42377962</t>
        </is>
      </c>
      <c r="D174" s="13" t="inlineStr">
        <is>
          <t>10.1001/jamanetworkopen.2026.21259</t>
        </is>
      </c>
      <c r="E174" s="13" t="inlineStr">
        <is>
          <t>Exclude</t>
        </is>
      </c>
      <c r="F174" s="14" t="inlineStr">
        <is>
          <t>Did not report the outcome of interest — invited commentary accompanying rec 234 (JAMA Netw Open); no independent incidence data</t>
        </is>
      </c>
      <c r="G174" s="15" t="inlineStr"/>
      <c r="H174" s="15" t="inlineStr"/>
      <c r="I174" s="16" t="inlineStr"/>
    </row>
    <row r="175">
      <c r="A175" s="13" t="inlineStr">
        <is>
          <t>3369</t>
        </is>
      </c>
      <c r="B175" s="14" t="inlineStr">
        <is>
          <t>Is male breast cancer similar or different than female breast cancer? (2004)</t>
        </is>
      </c>
      <c r="C175" s="13" t="inlineStr">
        <is>
          <t>14997057</t>
        </is>
      </c>
      <c r="D175" s="13" t="inlineStr">
        <is>
          <t>10.1023/b:brea.0000010701.08825.2d</t>
        </is>
      </c>
      <c r="E175" s="13" t="inlineStr">
        <is>
          <t>Exclude</t>
        </is>
      </c>
      <c r="F175" s="14" t="inlineStr">
        <is>
          <t>Did not report the outcome of interest — male vs female breast incidence SEER; NOT stratified by race/ethnicity</t>
        </is>
      </c>
      <c r="G175" s="15" t="inlineStr"/>
      <c r="H175" s="15" t="inlineStr"/>
      <c r="I175" s="16" t="inlineStr"/>
    </row>
    <row r="176">
      <c r="A176" s="13" t="inlineStr">
        <is>
          <t>4037</t>
        </is>
      </c>
      <c r="B176" s="14" t="inlineStr">
        <is>
          <t>The Impact of Eliminating Socioeconomic and Racial Disparities on Premature Cancer Deaths (2011)</t>
        </is>
      </c>
      <c r="C176" s="13" t="inlineStr">
        <is>
          <t>21685461</t>
        </is>
      </c>
      <c r="D176" s="13" t="inlineStr">
        <is>
          <t>10.3322/caac.20121</t>
        </is>
      </c>
      <c r="E176" s="13" t="inlineStr">
        <is>
          <t>Exclude</t>
        </is>
      </c>
      <c r="F176" s="14" t="inlineStr">
        <is>
          <t>Did not report the outcome of interest — ACS eliminate-disparities report; all-cancer premature-deaths/mortality focus; not breast incidence by race</t>
        </is>
      </c>
      <c r="G176" s="15" t="inlineStr"/>
      <c r="H176" s="15" t="inlineStr"/>
      <c r="I176" s="16" t="inlineStr"/>
    </row>
    <row r="177">
      <c r="A177" s="13" t="inlineStr">
        <is>
          <t>193</t>
        </is>
      </c>
      <c r="B177" s="14" t="inlineStr">
        <is>
          <t>Breast cancer trends and outcomes among young Black Women: A national cancer database analysis (2026)</t>
        </is>
      </c>
      <c r="C177" s="13" t="inlineStr">
        <is>
          <t>40885651</t>
        </is>
      </c>
      <c r="D177" s="13" t="inlineStr">
        <is>
          <t>10.1016/j.amjsurg.2025.116577</t>
        </is>
      </c>
      <c r="E177" s="13" t="inlineStr">
        <is>
          <t>Exclude</t>
        </is>
      </c>
      <c r="F177" s="14" t="inlineStr">
        <is>
          <t>Ineligible population — NCDB is hospital-based NOT population-based -&gt; invalid incidence denominator</t>
        </is>
      </c>
      <c r="G177" s="15" t="inlineStr"/>
      <c r="H177" s="15" t="inlineStr"/>
      <c r="I177" s="16" t="inlineStr"/>
    </row>
    <row r="178">
      <c r="A178" s="13" t="inlineStr">
        <is>
          <t>1462</t>
        </is>
      </c>
      <c r="B178" s="14" t="inlineStr">
        <is>
          <t>Rising Breast Cancer Incidence and Poor Outcomes in Young Women: A Retrospective Study (2026)</t>
        </is>
      </c>
      <c r="C178" s="13" t="inlineStr">
        <is>
          <t>41742962</t>
        </is>
      </c>
      <c r="D178" s="13" t="inlineStr">
        <is>
          <t>10.1155/tbj/5584726</t>
        </is>
      </c>
      <c r="E178" s="13" t="inlineStr">
        <is>
          <t>Exclude</t>
        </is>
      </c>
      <c r="F178" s="14" t="inlineStr">
        <is>
          <t>Ineligible population — TriNetX EHR research network denominator, not population-based registry (cf NCDB)</t>
        </is>
      </c>
      <c r="G178" s="15" t="inlineStr"/>
      <c r="H178" s="15" t="inlineStr"/>
      <c r="I178" s="16" t="inlineStr"/>
    </row>
    <row r="179">
      <c r="A179" s="13" t="inlineStr">
        <is>
          <t>1761</t>
        </is>
      </c>
      <c r="B179" s="14" t="inlineStr">
        <is>
          <t>Differences in Breast Cancer Subtypes among Racial/Ethnic Groups (2024)</t>
        </is>
      </c>
      <c r="C179" s="13" t="inlineStr"/>
      <c r="D179" s="13" t="inlineStr">
        <is>
          <t>10.3390/cancers16203462</t>
        </is>
      </c>
      <c r="E179" s="13" t="inlineStr">
        <is>
          <t>Exclude</t>
        </is>
      </c>
      <c r="F179" s="14" t="inlineStr">
        <is>
          <t>Ineligible population — Hawaii hospital tumor registries not population-based HTR; subtype-by-race covered by 522/161</t>
        </is>
      </c>
      <c r="G179" s="15" t="inlineStr"/>
      <c r="H179" s="15" t="inlineStr"/>
      <c r="I179" s="16" t="inlineStr"/>
    </row>
    <row r="180">
      <c r="A180" s="13" t="inlineStr">
        <is>
          <t>1569</t>
        </is>
      </c>
      <c r="B180" s="14" t="inlineStr">
        <is>
          <t>Characterizing cancer patterns in Okinawan vs. mainland Japanese Americans: The Multiethnic Cohort Study (2025)</t>
        </is>
      </c>
      <c r="C180" s="13" t="inlineStr"/>
      <c r="D180" s="13" t="inlineStr">
        <is>
          <t>10.1101/2025.07.14.25331338</t>
        </is>
      </c>
      <c r="E180" s="13" t="inlineStr">
        <is>
          <t>Exclude</t>
        </is>
      </c>
      <c r="F180" s="14" t="inlineStr">
        <is>
          <t>Preprint (not peer-reviewed) — MEC Okinawan vs mainland Japanese (medRxiv 10.1101/2025.07.14.25331338); comparator not NHW; preprint not peer-reviewed</t>
        </is>
      </c>
      <c r="G180" s="15" t="inlineStr"/>
      <c r="H180" s="15" t="inlineStr"/>
      <c r="I180" s="16" t="inlineStr"/>
    </row>
    <row r="181">
      <c r="A181" s="13" t="inlineStr">
        <is>
          <t>1</t>
        </is>
      </c>
      <c r="B181" s="14" t="inlineStr">
        <is>
          <t>Breast cancer statistics, 2019 (2019)</t>
        </is>
      </c>
      <c r="C181" s="13" t="inlineStr">
        <is>
          <t>31577379</t>
        </is>
      </c>
      <c r="D181" s="13" t="inlineStr">
        <is>
          <t>10.3322/caac.21583</t>
        </is>
      </c>
      <c r="E181" s="13" t="inlineStr">
        <is>
          <t>Exclude</t>
        </is>
      </c>
      <c r="F181" s="14" t="inlineStr">
        <is>
          <t>Overlapping or duplicate dataset — recurring statistical report (ACS-BreastStats); re-reports SEER/NPCR/NAACCR data already captured by primary studies + series representative</t>
        </is>
      </c>
      <c r="G181" s="15" t="inlineStr"/>
      <c r="H181" s="15" t="inlineStr"/>
      <c r="I181" s="16" t="inlineStr"/>
    </row>
    <row r="182">
      <c r="A182" s="13" t="inlineStr">
        <is>
          <t>3</t>
        </is>
      </c>
      <c r="B182" s="14" t="inlineStr">
        <is>
          <t>Lobular breast cancer statistics, 2025 (2025)</t>
        </is>
      </c>
      <c r="C182" s="13" t="inlineStr">
        <is>
          <t>41055508</t>
        </is>
      </c>
      <c r="D182" s="13" t="inlineStr">
        <is>
          <t>10.1002/cncr.70061</t>
        </is>
      </c>
      <c r="E182" s="13" t="inlineStr">
        <is>
          <t>Exclude</t>
        </is>
      </c>
      <c r="F182" s="14" t="inlineStr">
        <is>
          <t>Overlapping or duplicate dataset — recurring statistical report (ACS-BreastStats); re-reports SEER/NPCR/NAACCR data already captured by primary studies + series representative</t>
        </is>
      </c>
      <c r="G182" s="15" t="inlineStr"/>
      <c r="H182" s="15" t="inlineStr"/>
      <c r="I182" s="16" t="inlineStr"/>
    </row>
    <row r="183">
      <c r="A183" s="13" t="inlineStr">
        <is>
          <t>136</t>
        </is>
      </c>
      <c r="B183" s="14" t="inlineStr">
        <is>
          <t>Breast cancer statistics, 2015: Convergence of incidence rates between black and white women (2016)</t>
        </is>
      </c>
      <c r="C183" s="13" t="inlineStr">
        <is>
          <t>26513636</t>
        </is>
      </c>
      <c r="D183" s="13" t="inlineStr">
        <is>
          <t>10.3322/caac.21320</t>
        </is>
      </c>
      <c r="E183" s="13" t="inlineStr">
        <is>
          <t>Exclude</t>
        </is>
      </c>
      <c r="F183" s="14" t="inlineStr">
        <is>
          <t>Overlapping or duplicate dataset — recurring statistical report (ACS-BreastStats); re-reports SEER/NPCR/NAACCR data already captured by primary studies + series representative</t>
        </is>
      </c>
      <c r="G183" s="15" t="inlineStr"/>
      <c r="H183" s="15" t="inlineStr"/>
      <c r="I183" s="16" t="inlineStr"/>
    </row>
    <row r="184">
      <c r="A184" s="13" t="inlineStr">
        <is>
          <t>148</t>
        </is>
      </c>
      <c r="B184" s="14" t="inlineStr">
        <is>
          <t>Cancer statistics for African Americans, 2016: Progress and opportunities in reducing racial disparities (2016)</t>
        </is>
      </c>
      <c r="C184" s="13" t="inlineStr">
        <is>
          <t>26910411</t>
        </is>
      </c>
      <c r="D184" s="13" t="inlineStr">
        <is>
          <t>10.3322/caac.21340</t>
        </is>
      </c>
      <c r="E184" s="13" t="inlineStr">
        <is>
          <t>Exclude</t>
        </is>
      </c>
      <c r="F184" s="14" t="inlineStr">
        <is>
          <t>Overlapping or duplicate dataset — recurring statistical report (ACS-AABlack); re-reports SEER/NPCR/NAACCR data already captured by primary studies + series representative</t>
        </is>
      </c>
      <c r="G184" s="15" t="inlineStr"/>
      <c r="H184" s="15" t="inlineStr"/>
      <c r="I184" s="16" t="inlineStr"/>
    </row>
    <row r="185">
      <c r="A185" s="13" t="inlineStr">
        <is>
          <t>156</t>
        </is>
      </c>
      <c r="B185" s="14" t="inlineStr">
        <is>
          <t>Annual report to the nation on the status of cancer, part 1: National cancer statistics (2022)</t>
        </is>
      </c>
      <c r="C185" s="13" t="inlineStr">
        <is>
          <t>36301149</t>
        </is>
      </c>
      <c r="D185" s="13" t="inlineStr">
        <is>
          <t>10.1002/cncr.34479</t>
        </is>
      </c>
      <c r="E185" s="13" t="inlineStr">
        <is>
          <t>Exclude</t>
        </is>
      </c>
      <c r="F185" s="14" t="inlineStr">
        <is>
          <t>Overlapping or duplicate dataset — recurring statistical report (ARN); re-reports SEER/NPCR/NAACCR data already captured by primary studies + series representative</t>
        </is>
      </c>
      <c r="G185" s="15" t="inlineStr"/>
      <c r="H185" s="15" t="inlineStr"/>
      <c r="I185" s="16" t="inlineStr"/>
    </row>
    <row r="186">
      <c r="A186" s="13" t="inlineStr">
        <is>
          <t>235</t>
        </is>
      </c>
      <c r="B186" s="14" t="inlineStr">
        <is>
          <t>Annual report to the nation on the status of cancer, part I: National cancer statistics (2020)</t>
        </is>
      </c>
      <c r="C186" s="13" t="inlineStr">
        <is>
          <t>32162336</t>
        </is>
      </c>
      <c r="D186" s="13" t="inlineStr">
        <is>
          <t>10.1002/cncr.32802</t>
        </is>
      </c>
      <c r="E186" s="13" t="inlineStr">
        <is>
          <t>Exclude</t>
        </is>
      </c>
      <c r="F186" s="14" t="inlineStr">
        <is>
          <t>Overlapping or duplicate dataset — recurring statistical report (ARN); re-reports SEER/NPCR/NAACCR data already captured by primary studies + series representative</t>
        </is>
      </c>
      <c r="G186" s="15" t="inlineStr"/>
      <c r="H186" s="15" t="inlineStr"/>
      <c r="I186" s="16" t="inlineStr"/>
    </row>
    <row r="187">
      <c r="A187" s="13" t="inlineStr">
        <is>
          <t>358</t>
        </is>
      </c>
      <c r="B187" s="14" t="inlineStr">
        <is>
          <t>Annual Report to the Nation on the status of cancer, 1975-2010, featuring  prevalence of comorbidity and impact on survival among persons with lung, colorectal, breast, or prostate cancer (2014)</t>
        </is>
      </c>
      <c r="C187" s="13" t="inlineStr">
        <is>
          <t>24343171</t>
        </is>
      </c>
      <c r="D187" s="13" t="inlineStr">
        <is>
          <t>10.1002/cncr.28509</t>
        </is>
      </c>
      <c r="E187" s="13" t="inlineStr">
        <is>
          <t>Exclude</t>
        </is>
      </c>
      <c r="F187" s="14" t="inlineStr">
        <is>
          <t>Overlapping or duplicate dataset — recurring statistical report (ARN); re-reports SEER/NPCR/NAACCR data already captured by primary studies + series representative</t>
        </is>
      </c>
      <c r="G187" s="15" t="inlineStr"/>
      <c r="H187" s="15" t="inlineStr"/>
      <c r="I187" s="16" t="inlineStr"/>
    </row>
    <row r="188">
      <c r="A188" s="13" t="inlineStr">
        <is>
          <t>362</t>
        </is>
      </c>
      <c r="B188" s="14" t="inlineStr">
        <is>
          <t>Annual Report to the Nation on the Status of Cancer, 1975-2014, Featuring  Survival (2017)</t>
        </is>
      </c>
      <c r="C188" s="13" t="inlineStr">
        <is>
          <t>28376154</t>
        </is>
      </c>
      <c r="D188" s="13" t="inlineStr">
        <is>
          <t>10.1093/jnci/djx030</t>
        </is>
      </c>
      <c r="E188" s="13" t="inlineStr">
        <is>
          <t>Exclude</t>
        </is>
      </c>
      <c r="F188" s="14" t="inlineStr">
        <is>
          <t>Overlapping or duplicate dataset — recurring statistical report (ARN); re-reports SEER/NPCR/NAACCR data already captured by primary studies + series representative</t>
        </is>
      </c>
      <c r="G188" s="15" t="inlineStr"/>
      <c r="H188" s="15" t="inlineStr"/>
      <c r="I188" s="16" t="inlineStr"/>
    </row>
    <row r="189">
      <c r="A189" s="13" t="inlineStr">
        <is>
          <t>384</t>
        </is>
      </c>
      <c r="B189" s="14" t="inlineStr">
        <is>
          <t>Annual report to the nation on the status of cancer, 1975-2003, featuring cancer  among U.S. Hispanic/Latino populations (2006)</t>
        </is>
      </c>
      <c r="C189" s="13" t="inlineStr">
        <is>
          <t>16958083</t>
        </is>
      </c>
      <c r="D189" s="13" t="inlineStr">
        <is>
          <t>10.1002/cncr.22193</t>
        </is>
      </c>
      <c r="E189" s="13" t="inlineStr">
        <is>
          <t>Exclude</t>
        </is>
      </c>
      <c r="F189" s="14" t="inlineStr">
        <is>
          <t>Overlapping or duplicate dataset — recurring statistical report (ARN); re-reports SEER/NPCR/NAACCR data already captured by primary studies + series representative</t>
        </is>
      </c>
      <c r="G189" s="15" t="inlineStr"/>
      <c r="H189" s="15" t="inlineStr"/>
      <c r="I189" s="16" t="inlineStr"/>
    </row>
    <row r="190">
      <c r="A190" s="13" t="inlineStr">
        <is>
          <t>411</t>
        </is>
      </c>
      <c r="B190" s="14" t="inlineStr">
        <is>
          <t>Annual report to the nation on the status of cancer, 1975-2011, featuring incidence of breast cancer subtypes by race/ethnicity, poverty, and state (2015)</t>
        </is>
      </c>
      <c r="C190" s="13" t="inlineStr">
        <is>
          <t>25825511</t>
        </is>
      </c>
      <c r="D190" s="13" t="inlineStr">
        <is>
          <t>10.1093/jnci/djv048</t>
        </is>
      </c>
      <c r="E190" s="13" t="inlineStr">
        <is>
          <t>Exclude</t>
        </is>
      </c>
      <c r="F190" s="14" t="inlineStr">
        <is>
          <t>Overlapping or duplicate dataset — recurring statistical report (ARN); re-reports SEER/NPCR/NAACCR data already captured by primary studies + series representative</t>
        </is>
      </c>
      <c r="G190" s="15" t="inlineStr"/>
      <c r="H190" s="15" t="inlineStr"/>
      <c r="I190" s="16" t="inlineStr"/>
    </row>
    <row r="191">
      <c r="A191" s="13" t="inlineStr">
        <is>
          <t>413</t>
        </is>
      </c>
      <c r="B191" s="14" t="inlineStr">
        <is>
          <t>Annual report to the nation on the status of cancer, 1975-2002, featuring  population-based trends in cancer treatment (2005)</t>
        </is>
      </c>
      <c r="C191" s="13" t="inlineStr">
        <is>
          <t>16204691</t>
        </is>
      </c>
      <c r="D191" s="13" t="inlineStr">
        <is>
          <t>10.1093/jnci/dji289</t>
        </is>
      </c>
      <c r="E191" s="13" t="inlineStr">
        <is>
          <t>Exclude</t>
        </is>
      </c>
      <c r="F191" s="14" t="inlineStr">
        <is>
          <t>Overlapping or duplicate dataset — recurring statistical report (ARN); re-reports SEER/NPCR/NAACCR data already captured by primary studies + series representative</t>
        </is>
      </c>
      <c r="G191" s="15" t="inlineStr"/>
      <c r="H191" s="15" t="inlineStr"/>
      <c r="I191" s="16" t="inlineStr"/>
    </row>
    <row r="192">
      <c r="A192" s="13" t="inlineStr">
        <is>
          <t>517</t>
        </is>
      </c>
      <c r="B192" s="14" t="inlineStr">
        <is>
          <t>Breast cancer statistics, 2017, racial disparity in mortality by state (2017)</t>
        </is>
      </c>
      <c r="C192" s="13" t="inlineStr">
        <is>
          <t>28972651</t>
        </is>
      </c>
      <c r="D192" s="13" t="inlineStr">
        <is>
          <t>10.3322/caac.21412</t>
        </is>
      </c>
      <c r="E192" s="13" t="inlineStr">
        <is>
          <t>Exclude</t>
        </is>
      </c>
      <c r="F192" s="14" t="inlineStr">
        <is>
          <t>Overlapping or duplicate dataset — recurring statistical report (ACS-BreastStats); re-reports SEER/NPCR/NAACCR data already captured by primary studies + series representative</t>
        </is>
      </c>
      <c r="G192" s="15" t="inlineStr"/>
      <c r="H192" s="15" t="inlineStr"/>
      <c r="I192" s="16" t="inlineStr"/>
    </row>
    <row r="193">
      <c r="A193" s="13" t="inlineStr">
        <is>
          <t>543</t>
        </is>
      </c>
      <c r="B193" s="14" t="inlineStr">
        <is>
          <t>Cancer statistics for African American/Black People 2022 (2022)</t>
        </is>
      </c>
      <c r="C193" s="13" t="inlineStr">
        <is>
          <t>35143040</t>
        </is>
      </c>
      <c r="D193" s="13" t="inlineStr">
        <is>
          <t>10.3322/caac.21718</t>
        </is>
      </c>
      <c r="E193" s="13" t="inlineStr">
        <is>
          <t>Exclude</t>
        </is>
      </c>
      <c r="F193" s="14" t="inlineStr">
        <is>
          <t>Overlapping or duplicate dataset — recurring statistical report (ACS-AABlack); re-reports SEER/NPCR/NAACCR data already captured by primary studies + series representative</t>
        </is>
      </c>
      <c r="G193" s="15" t="inlineStr"/>
      <c r="H193" s="15" t="inlineStr"/>
      <c r="I193" s="16" t="inlineStr"/>
    </row>
    <row r="194">
      <c r="A194" s="13" t="inlineStr">
        <is>
          <t>605</t>
        </is>
      </c>
      <c r="B194" s="14" t="inlineStr">
        <is>
          <t>Annual report to the nation on the status of cancer, 1973-1999, featuring implications of age and aging on U.S. cancer burden (2002)</t>
        </is>
      </c>
      <c r="C194" s="13" t="inlineStr">
        <is>
          <t>12173348</t>
        </is>
      </c>
      <c r="D194" s="13" t="inlineStr">
        <is>
          <t>10.1002/cncr.10593</t>
        </is>
      </c>
      <c r="E194" s="13" t="inlineStr">
        <is>
          <t>Exclude</t>
        </is>
      </c>
      <c r="F194" s="14" t="inlineStr">
        <is>
          <t>Overlapping or duplicate dataset — recurring statistical report (ARN); re-reports SEER/NPCR/NAACCR data already captured by primary studies + series representative</t>
        </is>
      </c>
      <c r="G194" s="15" t="inlineStr"/>
      <c r="H194" s="15" t="inlineStr"/>
      <c r="I194" s="16" t="inlineStr"/>
    </row>
    <row r="195">
      <c r="A195" s="13" t="inlineStr">
        <is>
          <t>612</t>
        </is>
      </c>
      <c r="B195" s="14" t="inlineStr">
        <is>
          <t>Breast Cancer Statistics, 2022 (2022)</t>
        </is>
      </c>
      <c r="C195" s="13" t="inlineStr">
        <is>
          <t>36190501</t>
        </is>
      </c>
      <c r="D195" s="13" t="inlineStr">
        <is>
          <t>10.3322/caac.21754</t>
        </is>
      </c>
      <c r="E195" s="13" t="inlineStr">
        <is>
          <t>Exclude</t>
        </is>
      </c>
      <c r="F195" s="14" t="inlineStr">
        <is>
          <t>Overlapping or duplicate dataset — recurring statistical report (ACS-BreastStats); re-reports SEER/NPCR/NAACCR data already captured by primary studies + series representative</t>
        </is>
      </c>
      <c r="G195" s="15" t="inlineStr"/>
      <c r="H195" s="15" t="inlineStr"/>
      <c r="I195" s="16" t="inlineStr"/>
    </row>
    <row r="196">
      <c r="A196" s="13" t="inlineStr">
        <is>
          <t>617</t>
        </is>
      </c>
      <c r="B196" s="14" t="inlineStr">
        <is>
          <t>Annual report to the nation on the status of cancer, 1975-2004, featuring cancer  in American Indians and Alaska Natives (2007)</t>
        </is>
      </c>
      <c r="C196" s="13" t="inlineStr">
        <is>
          <t>17939129</t>
        </is>
      </c>
      <c r="D196" s="13" t="inlineStr">
        <is>
          <t>10.1002/cncr.23044</t>
        </is>
      </c>
      <c r="E196" s="13" t="inlineStr">
        <is>
          <t>Exclude</t>
        </is>
      </c>
      <c r="F196" s="14" t="inlineStr">
        <is>
          <t>Overlapping or duplicate dataset — recurring statistical report (ARN); re-reports SEER/NPCR/NAACCR data already captured by primary studies + series representative</t>
        </is>
      </c>
      <c r="G196" s="15" t="inlineStr"/>
      <c r="H196" s="15" t="inlineStr"/>
      <c r="I196" s="16" t="inlineStr"/>
    </row>
    <row r="197">
      <c r="A197" s="13" t="inlineStr">
        <is>
          <t>694</t>
        </is>
      </c>
      <c r="B197" s="14" t="inlineStr">
        <is>
          <t>Annual report to the nation on the status of cancer (1973 through 1998),  featuring cancers with recent increasing trends (2001)</t>
        </is>
      </c>
      <c r="C197" s="13" t="inlineStr">
        <is>
          <t>11390532</t>
        </is>
      </c>
      <c r="D197" s="13" t="inlineStr">
        <is>
          <t>10.1093/jnci/93.11.824</t>
        </is>
      </c>
      <c r="E197" s="13" t="inlineStr">
        <is>
          <t>Exclude</t>
        </is>
      </c>
      <c r="F197" s="14" t="inlineStr">
        <is>
          <t>Overlapping or duplicate dataset — recurring statistical report (ARN); re-reports SEER/NPCR/NAACCR data already captured by primary studies + series representative</t>
        </is>
      </c>
      <c r="G197" s="15" t="inlineStr"/>
      <c r="H197" s="15" t="inlineStr"/>
      <c r="I197" s="16" t="inlineStr"/>
    </row>
    <row r="198">
      <c r="A198" s="13" t="inlineStr">
        <is>
          <t>788</t>
        </is>
      </c>
      <c r="B198" s="14" t="inlineStr">
        <is>
          <t>Annual Report to the Nation on the Status of Cancer, Featuring Cancer in Men and Women Age 20–49 Years (2019)</t>
        </is>
      </c>
      <c r="C198" s="13" t="inlineStr">
        <is>
          <t>31145458</t>
        </is>
      </c>
      <c r="D198" s="13" t="inlineStr">
        <is>
          <t>10.1093/jnci/djz106</t>
        </is>
      </c>
      <c r="E198" s="13" t="inlineStr">
        <is>
          <t>Exclude</t>
        </is>
      </c>
      <c r="F198" s="14" t="inlineStr">
        <is>
          <t>Overlapping or duplicate dataset — recurring statistical report (ARN); re-reports SEER/NPCR/NAACCR data already captured by primary studies + series representative</t>
        </is>
      </c>
      <c r="G198" s="15" t="inlineStr"/>
      <c r="H198" s="15" t="inlineStr"/>
      <c r="I198" s="16" t="inlineStr"/>
    </row>
    <row r="199">
      <c r="A199" s="13" t="inlineStr">
        <is>
          <t>825</t>
        </is>
      </c>
      <c r="B199" s="14" t="inlineStr">
        <is>
          <t>The annual report to the nation on the status of cancer, 1973-1997, with a  special section on colorectal cancer (2000)</t>
        </is>
      </c>
      <c r="C199" s="13" t="inlineStr">
        <is>
          <t>10820364</t>
        </is>
      </c>
      <c r="D199" s="13" t="inlineStr">
        <is>
          <t>10.1002/(sici)1097-0142(20000515)88:10&lt;2398::aid-cncr26&gt;3.0.co;2-i</t>
        </is>
      </c>
      <c r="E199" s="13" t="inlineStr">
        <is>
          <t>Exclude</t>
        </is>
      </c>
      <c r="F199" s="14" t="inlineStr">
        <is>
          <t>Overlapping or duplicate dataset — recurring statistical report (ARN); re-reports SEER/NPCR/NAACCR data already captured by primary studies + series representative</t>
        </is>
      </c>
      <c r="G199" s="15" t="inlineStr"/>
      <c r="H199" s="15" t="inlineStr"/>
      <c r="I199" s="16" t="inlineStr"/>
    </row>
    <row r="200">
      <c r="A200" s="13" t="inlineStr">
        <is>
          <t>968</t>
        </is>
      </c>
      <c r="B200" s="14" t="inlineStr">
        <is>
          <t>Annual report to the nation on the status of cancer, 1975-2006, featuring  colorectal cancer trends and impact of interventions (risk factors, screening, and treatment) to reduce future rates (2010)</t>
        </is>
      </c>
      <c r="C200" s="13" t="inlineStr">
        <is>
          <t>19998273</t>
        </is>
      </c>
      <c r="D200" s="13" t="inlineStr">
        <is>
          <t>10.1002/cncr.24760</t>
        </is>
      </c>
      <c r="E200" s="13" t="inlineStr">
        <is>
          <t>Exclude</t>
        </is>
      </c>
      <c r="F200" s="14" t="inlineStr">
        <is>
          <t>Overlapping or duplicate dataset — recurring statistical report (ARN); re-reports SEER/NPCR/NAACCR data already captured by primary studies + series representative</t>
        </is>
      </c>
      <c r="G200" s="15" t="inlineStr"/>
      <c r="H200" s="15" t="inlineStr"/>
      <c r="I200" s="16" t="inlineStr"/>
    </row>
    <row r="201">
      <c r="A201" s="13" t="inlineStr">
        <is>
          <t>1196</t>
        </is>
      </c>
      <c r="B201" s="14" t="inlineStr">
        <is>
          <t>Cancer statistics, 2012 (2012)</t>
        </is>
      </c>
      <c r="C201" s="13" t="inlineStr">
        <is>
          <t>22237781</t>
        </is>
      </c>
      <c r="D201" s="13" t="inlineStr">
        <is>
          <t>10.3322/caac.20138</t>
        </is>
      </c>
      <c r="E201" s="13" t="inlineStr">
        <is>
          <t>Exclude</t>
        </is>
      </c>
      <c r="F201" s="14" t="inlineStr">
        <is>
          <t>Overlapping or duplicate dataset — recurring statistical report (ACS-Annual); re-reports SEER/NPCR/NAACCR data already captured by primary studies + series representative</t>
        </is>
      </c>
      <c r="G201" s="15" t="inlineStr"/>
      <c r="H201" s="15" t="inlineStr"/>
      <c r="I201" s="16" t="inlineStr"/>
    </row>
    <row r="202">
      <c r="A202" s="13" t="inlineStr">
        <is>
          <t>1693</t>
        </is>
      </c>
      <c r="B202" s="14" t="inlineStr">
        <is>
          <t>Regional Disparities in Incidence and Outcomes of Invasive Ductal Carcinoma Among Asian and Pacific Islander Women in the United States (2024)</t>
        </is>
      </c>
      <c r="C202" s="13" t="inlineStr"/>
      <c r="D202" s="13" t="inlineStr">
        <is>
          <t>10.2139/ssrn.5051333</t>
        </is>
      </c>
      <c r="E202" s="13" t="inlineStr">
        <is>
          <t>Exclude</t>
        </is>
      </c>
      <c r="F202" s="14" t="inlineStr">
        <is>
          <t>Overlapping or duplicate dataset — SSRN preprint duplicate of published 425 (same SEER17 API invasive-ductal by region)</t>
        </is>
      </c>
      <c r="G202" s="15" t="inlineStr"/>
      <c r="H202" s="15" t="inlineStr"/>
      <c r="I202" s="16" t="inlineStr"/>
    </row>
    <row r="203">
      <c r="A203" s="13" t="inlineStr">
        <is>
          <t>1875</t>
        </is>
      </c>
      <c r="B203" s="14" t="inlineStr">
        <is>
          <t>Cancer statistics, 2024 (2024)</t>
        </is>
      </c>
      <c r="C203" s="13" t="inlineStr">
        <is>
          <t>38230766</t>
        </is>
      </c>
      <c r="D203" s="13" t="inlineStr">
        <is>
          <t>10.3322/caac.21820</t>
        </is>
      </c>
      <c r="E203" s="13" t="inlineStr">
        <is>
          <t>Exclude</t>
        </is>
      </c>
      <c r="F203" s="14" t="inlineStr">
        <is>
          <t>Overlapping or duplicate dataset — recurring statistical report (ACS-Annual); re-reports SEER/NPCR/NAACCR data already captured by primary studies + series representative</t>
        </is>
      </c>
      <c r="G203" s="15" t="inlineStr"/>
      <c r="H203" s="15" t="inlineStr"/>
      <c r="I203" s="16" t="inlineStr"/>
    </row>
    <row r="204">
      <c r="A204" s="13" t="inlineStr">
        <is>
          <t>2021</t>
        </is>
      </c>
      <c r="B204" s="14" t="inlineStr">
        <is>
          <t>Cancer statistics, 2023 (2023)</t>
        </is>
      </c>
      <c r="C204" s="13" t="inlineStr">
        <is>
          <t>36633525</t>
        </is>
      </c>
      <c r="D204" s="13" t="inlineStr">
        <is>
          <t>10.3322/caac.21763</t>
        </is>
      </c>
      <c r="E204" s="13" t="inlineStr">
        <is>
          <t>Exclude</t>
        </is>
      </c>
      <c r="F204" s="14" t="inlineStr">
        <is>
          <t>Overlapping or duplicate dataset — recurring statistical report (ACS-Annual); re-reports SEER/NPCR/NAACCR data already captured by primary studies + series representative</t>
        </is>
      </c>
      <c r="G204" s="15" t="inlineStr"/>
      <c r="H204" s="15" t="inlineStr"/>
      <c r="I204" s="16" t="inlineStr"/>
    </row>
    <row r="205">
      <c r="A205" s="13" t="inlineStr">
        <is>
          <t>2151</t>
        </is>
      </c>
      <c r="B205" s="14" t="inlineStr">
        <is>
          <t>American Cancer Society's report on the status of cancer disparities in the United States, 2021 (2022)</t>
        </is>
      </c>
      <c r="C205" s="13" t="inlineStr">
        <is>
          <t>34878180</t>
        </is>
      </c>
      <c r="D205" s="13" t="inlineStr">
        <is>
          <t>10.3322/caac.21703</t>
        </is>
      </c>
      <c r="E205" s="13" t="inlineStr">
        <is>
          <t>Exclude</t>
        </is>
      </c>
      <c r="F205" s="14" t="inlineStr">
        <is>
          <t>Overlapping or duplicate dataset — recurring statistical report (ACS-Disparities); re-reports SEER/NPCR/NAACCR data already captured by primary studies + series representative</t>
        </is>
      </c>
      <c r="G205" s="15" t="inlineStr"/>
      <c r="H205" s="15" t="inlineStr"/>
      <c r="I205" s="16" t="inlineStr"/>
    </row>
    <row r="206">
      <c r="A206" s="13" t="inlineStr">
        <is>
          <t>2163</t>
        </is>
      </c>
      <c r="B206" s="14" t="inlineStr">
        <is>
          <t>Estrogen receptor negative breast cancer incidence rates are similar in Ghanaian and Non-Hispanic Black women in the USA (2022)</t>
        </is>
      </c>
      <c r="C206" s="13" t="inlineStr"/>
      <c r="D206" s="13" t="inlineStr">
        <is>
          <t>10.1101/2022.02.21.22271266</t>
        </is>
      </c>
      <c r="E206" s="13" t="inlineStr">
        <is>
          <t>Exclude</t>
        </is>
      </c>
      <c r="F206" s="14" t="inlineStr">
        <is>
          <t>Overlapping or duplicate dataset — ERN incidence NHB/NHW SEER17 2013-2015 + Ghana; companion/overlap to rec 10 (preprint) | RECLASS -&gt;exclude: medRxiv PREPRINT duplicate of rec 10 (Davis Lynn 2025)</t>
        </is>
      </c>
      <c r="G206" s="15" t="inlineStr"/>
      <c r="H206" s="15" t="inlineStr"/>
      <c r="I206" s="16" t="inlineStr"/>
    </row>
    <row r="207">
      <c r="A207" s="13" t="inlineStr">
        <is>
          <t>2176</t>
        </is>
      </c>
      <c r="B207" s="14" t="inlineStr">
        <is>
          <t>Cancer statistics, 2022 (2022)</t>
        </is>
      </c>
      <c r="C207" s="13" t="inlineStr">
        <is>
          <t>35020204</t>
        </is>
      </c>
      <c r="D207" s="13" t="inlineStr">
        <is>
          <t>10.3322/caac.21708</t>
        </is>
      </c>
      <c r="E207" s="13" t="inlineStr">
        <is>
          <t>Exclude</t>
        </is>
      </c>
      <c r="F207" s="14" t="inlineStr">
        <is>
          <t>Overlapping or duplicate dataset — recurring statistical report (ACS-Annual); re-reports SEER/NPCR/NAACCR data already captured by primary studies + series representative</t>
        </is>
      </c>
      <c r="G207" s="15" t="inlineStr"/>
      <c r="H207" s="15" t="inlineStr"/>
      <c r="I207" s="16" t="inlineStr"/>
    </row>
    <row r="208">
      <c r="A208" s="13" t="inlineStr">
        <is>
          <t>2413</t>
        </is>
      </c>
      <c r="B208" s="14" t="inlineStr">
        <is>
          <t>Cancer statistics, 2020 (2020)</t>
        </is>
      </c>
      <c r="C208" s="13" t="inlineStr">
        <is>
          <t>31912902</t>
        </is>
      </c>
      <c r="D208" s="13" t="inlineStr">
        <is>
          <t>10.3322/caac.21590</t>
        </is>
      </c>
      <c r="E208" s="13" t="inlineStr">
        <is>
          <t>Exclude</t>
        </is>
      </c>
      <c r="F208" s="14" t="inlineStr">
        <is>
          <t>Overlapping or duplicate dataset — recurring statistical report (ACS-Annual); re-reports SEER/NPCR/NAACCR data already captured by primary studies + series representative</t>
        </is>
      </c>
      <c r="G208" s="15" t="inlineStr"/>
      <c r="H208" s="15" t="inlineStr"/>
      <c r="I208" s="16" t="inlineStr"/>
    </row>
    <row r="209">
      <c r="A209" s="13" t="inlineStr">
        <is>
          <t>2473</t>
        </is>
      </c>
      <c r="B209" s="14" t="inlineStr">
        <is>
          <t>Cancer statistics for African Americans, 2019 (2019)</t>
        </is>
      </c>
      <c r="C209" s="13" t="inlineStr">
        <is>
          <t>30762872</t>
        </is>
      </c>
      <c r="D209" s="13" t="inlineStr">
        <is>
          <t>10.3322/caac.21555</t>
        </is>
      </c>
      <c r="E209" s="13" t="inlineStr">
        <is>
          <t>Exclude</t>
        </is>
      </c>
      <c r="F209" s="14" t="inlineStr">
        <is>
          <t>Overlapping or duplicate dataset — recurring statistical report (ACS-AABlack); re-reports SEER/NPCR/NAACCR data already captured by primary studies + series representative</t>
        </is>
      </c>
      <c r="G209" s="15" t="inlineStr"/>
      <c r="H209" s="15" t="inlineStr"/>
      <c r="I209" s="16" t="inlineStr"/>
    </row>
    <row r="210">
      <c r="A210" s="13" t="inlineStr">
        <is>
          <t>2537</t>
        </is>
      </c>
      <c r="B210" s="14" t="inlineStr">
        <is>
          <t>Cancer Statistics for Hispanics/Latinos, 2018 (2018)</t>
        </is>
      </c>
      <c r="C210" s="13" t="inlineStr">
        <is>
          <t>30285281</t>
        </is>
      </c>
      <c r="D210" s="13" t="inlineStr">
        <is>
          <t>10.3322/caac.21494</t>
        </is>
      </c>
      <c r="E210" s="13" t="inlineStr">
        <is>
          <t>Exclude</t>
        </is>
      </c>
      <c r="F210" s="14" t="inlineStr">
        <is>
          <t>Overlapping or duplicate dataset — recurring statistical report (ACS-Hispanic); re-reports SEER/NPCR/NAACCR data already captured by primary studies + series representative</t>
        </is>
      </c>
      <c r="G210" s="15" t="inlineStr"/>
      <c r="H210" s="15" t="inlineStr"/>
      <c r="I210" s="16" t="inlineStr"/>
    </row>
    <row r="211">
      <c r="A211" s="13" t="inlineStr">
        <is>
          <t>2601</t>
        </is>
      </c>
      <c r="B211" s="14" t="inlineStr">
        <is>
          <t>Cancer statistics, 2018 (2018)</t>
        </is>
      </c>
      <c r="C211" s="13" t="inlineStr">
        <is>
          <t>29313949</t>
        </is>
      </c>
      <c r="D211" s="13" t="inlineStr">
        <is>
          <t>10.3322/caac.21442</t>
        </is>
      </c>
      <c r="E211" s="13" t="inlineStr">
        <is>
          <t>Exclude</t>
        </is>
      </c>
      <c r="F211" s="14" t="inlineStr">
        <is>
          <t>Overlapping or duplicate dataset — recurring statistical report (ACS-Annual); re-reports SEER/NPCR/NAACCR data already captured by primary studies + series representative</t>
        </is>
      </c>
      <c r="G211" s="15" t="inlineStr"/>
      <c r="H211" s="15" t="inlineStr"/>
      <c r="I211" s="16" t="inlineStr"/>
    </row>
    <row r="212">
      <c r="A212" s="13" t="inlineStr">
        <is>
          <t>2698</t>
        </is>
      </c>
      <c r="B212" s="14" t="inlineStr">
        <is>
          <t>Cancer Statistics, 2017 (2017)</t>
        </is>
      </c>
      <c r="C212" s="13" t="inlineStr">
        <is>
          <t>28055103</t>
        </is>
      </c>
      <c r="D212" s="13" t="inlineStr">
        <is>
          <t>10.3322/caac.21387</t>
        </is>
      </c>
      <c r="E212" s="13" t="inlineStr">
        <is>
          <t>Exclude</t>
        </is>
      </c>
      <c r="F212" s="14" t="inlineStr">
        <is>
          <t>Overlapping or duplicate dataset — recurring statistical report (ACS-Annual); re-reports SEER/NPCR/NAACCR data already captured by primary studies + series representative</t>
        </is>
      </c>
      <c r="G212" s="15" t="inlineStr"/>
      <c r="H212" s="15" t="inlineStr"/>
      <c r="I212" s="16" t="inlineStr"/>
    </row>
    <row r="213">
      <c r="A213" s="13" t="inlineStr">
        <is>
          <t>2796</t>
        </is>
      </c>
      <c r="B213" s="14" t="inlineStr">
        <is>
          <t>Cancer statistics for Hispanics/Latinos, 2015 (2015)</t>
        </is>
      </c>
      <c r="C213" s="13" t="inlineStr">
        <is>
          <t>26375877</t>
        </is>
      </c>
      <c r="D213" s="13" t="inlineStr">
        <is>
          <t>10.3322/caac.21314</t>
        </is>
      </c>
      <c r="E213" s="13" t="inlineStr">
        <is>
          <t>Exclude</t>
        </is>
      </c>
      <c r="F213" s="14" t="inlineStr">
        <is>
          <t>Overlapping or duplicate dataset — recurring statistical report (ACS-Hispanic); re-reports SEER/NPCR/NAACCR data already captured by primary studies + series representative</t>
        </is>
      </c>
      <c r="G213" s="15" t="inlineStr"/>
      <c r="H213" s="15" t="inlineStr"/>
      <c r="I213" s="16" t="inlineStr"/>
    </row>
    <row r="214">
      <c r="A214" s="13" t="inlineStr">
        <is>
          <t>2843</t>
        </is>
      </c>
      <c r="B214" s="14" t="inlineStr">
        <is>
          <t>Cancer statistics, 2015 (2015)</t>
        </is>
      </c>
      <c r="C214" s="13" t="inlineStr">
        <is>
          <t>25559415</t>
        </is>
      </c>
      <c r="D214" s="13" t="inlineStr">
        <is>
          <t>10.3322/caac.21254</t>
        </is>
      </c>
      <c r="E214" s="13" t="inlineStr">
        <is>
          <t>Exclude</t>
        </is>
      </c>
      <c r="F214" s="14" t="inlineStr">
        <is>
          <t>Overlapping or duplicate dataset — recurring statistical report (ACS-Annual); re-reports SEER/NPCR/NAACCR data already captured by primary studies + series representative</t>
        </is>
      </c>
      <c r="G214" s="15" t="inlineStr"/>
      <c r="H214" s="15" t="inlineStr"/>
      <c r="I214" s="16" t="inlineStr"/>
    </row>
    <row r="215">
      <c r="A215" s="13" t="inlineStr">
        <is>
          <t>2917</t>
        </is>
      </c>
      <c r="B215" s="14" t="inlineStr">
        <is>
          <t>Breast cancer statistics, 2013 (2014)</t>
        </is>
      </c>
      <c r="C215" s="13" t="inlineStr">
        <is>
          <t>24114568</t>
        </is>
      </c>
      <c r="D215" s="13" t="inlineStr">
        <is>
          <t>10.3322/caac.21203</t>
        </is>
      </c>
      <c r="E215" s="13" t="inlineStr">
        <is>
          <t>Exclude</t>
        </is>
      </c>
      <c r="F215" s="14" t="inlineStr">
        <is>
          <t>Overlapping or duplicate dataset — recurring statistical report (ACS-BreastStats); re-reports SEER/NPCR/NAACCR data already captured by primary studies + series representative</t>
        </is>
      </c>
      <c r="G215" s="15" t="inlineStr"/>
      <c r="H215" s="15" t="inlineStr"/>
      <c r="I215" s="16" t="inlineStr"/>
    </row>
    <row r="216">
      <c r="A216" s="13" t="inlineStr">
        <is>
          <t>2989</t>
        </is>
      </c>
      <c r="B216" s="14" t="inlineStr">
        <is>
          <t>Cancer statistics for African Americans, 2013 (2013)</t>
        </is>
      </c>
      <c r="C216" s="13" t="inlineStr">
        <is>
          <t>23386565</t>
        </is>
      </c>
      <c r="D216" s="13" t="inlineStr">
        <is>
          <t>10.3322/caac.21173</t>
        </is>
      </c>
      <c r="E216" s="13" t="inlineStr">
        <is>
          <t>Exclude</t>
        </is>
      </c>
      <c r="F216" s="14" t="inlineStr">
        <is>
          <t>Overlapping or duplicate dataset — recurring statistical report (ACS-AABlack); re-reports SEER/NPCR/NAACCR data already captured by primary studies + series representative</t>
        </is>
      </c>
      <c r="G216" s="15" t="inlineStr"/>
      <c r="H216" s="15" t="inlineStr"/>
      <c r="I216" s="16" t="inlineStr"/>
    </row>
    <row r="217">
      <c r="A217" s="13" t="inlineStr">
        <is>
          <t>3186</t>
        </is>
      </c>
      <c r="B217" s="14" t="inlineStr">
        <is>
          <t>Age-Related Crossover in Breast Cancer Incidence Rates between Black and White Women: Implications for Removing Racial Disparities in Breast Cancer Care (2009)</t>
        </is>
      </c>
      <c r="C217" s="13" t="inlineStr"/>
      <c r="D217" s="13" t="inlineStr">
        <is>
          <t>10.1016/s1043-321x(09)79313-0</t>
        </is>
      </c>
      <c r="E217" s="13" t="inlineStr">
        <is>
          <t>Exclude</t>
        </is>
      </c>
      <c r="F217" s="14" t="inlineStr">
        <is>
          <t>Overlapping or duplicate dataset — book-chapter duplicate of 265 (same SEER9 1975-2004 crossover analysis)</t>
        </is>
      </c>
      <c r="G217" s="15" t="inlineStr"/>
      <c r="H217" s="15" t="inlineStr"/>
      <c r="I217" s="16" t="inlineStr"/>
    </row>
    <row r="218">
      <c r="A218" s="13" t="inlineStr">
        <is>
          <t>3188</t>
        </is>
      </c>
      <c r="B218" s="14" t="inlineStr">
        <is>
          <t>Cancer statistics, 2009 (2009)</t>
        </is>
      </c>
      <c r="C218" s="13" t="inlineStr">
        <is>
          <t>19474385</t>
        </is>
      </c>
      <c r="D218" s="13" t="inlineStr">
        <is>
          <t>10.3322/caac.20006</t>
        </is>
      </c>
      <c r="E218" s="13" t="inlineStr">
        <is>
          <t>Exclude</t>
        </is>
      </c>
      <c r="F218" s="14" t="inlineStr">
        <is>
          <t>Overlapping or duplicate dataset — recurring statistical report (ACS-Annual); re-reports SEER/NPCR/NAACCR data already captured by primary studies + series representative</t>
        </is>
      </c>
      <c r="G218" s="15" t="inlineStr"/>
      <c r="H218" s="15" t="inlineStr"/>
      <c r="I218" s="16" t="inlineStr"/>
    </row>
    <row r="219">
      <c r="A219" s="13" t="inlineStr">
        <is>
          <t>3243</t>
        </is>
      </c>
      <c r="B219" s="14" t="inlineStr">
        <is>
          <t>Cancer statistics, 2008 (2008)</t>
        </is>
      </c>
      <c r="C219" s="13" t="inlineStr">
        <is>
          <t>18287387</t>
        </is>
      </c>
      <c r="D219" s="13" t="inlineStr">
        <is>
          <t>10.3322/ca.2007.0010</t>
        </is>
      </c>
      <c r="E219" s="13" t="inlineStr">
        <is>
          <t>Exclude</t>
        </is>
      </c>
      <c r="F219" s="14" t="inlineStr">
        <is>
          <t>Overlapping or duplicate dataset — recurring statistical report (ACS-Annual); re-reports SEER/NPCR/NAACCR data already captured by primary studies + series representative</t>
        </is>
      </c>
      <c r="G219" s="15" t="inlineStr"/>
      <c r="H219" s="15" t="inlineStr"/>
      <c r="I219" s="16" t="inlineStr"/>
    </row>
    <row r="220">
      <c r="A220" s="13" t="inlineStr">
        <is>
          <t>3345</t>
        </is>
      </c>
      <c r="B220" s="14" t="inlineStr">
        <is>
          <t>Cancer statistics, 2005 (2005)</t>
        </is>
      </c>
      <c r="C220" s="13" t="inlineStr">
        <is>
          <t>15661684</t>
        </is>
      </c>
      <c r="D220" s="13" t="inlineStr">
        <is>
          <t>10.3322/canjclin.55.1.10</t>
        </is>
      </c>
      <c r="E220" s="13" t="inlineStr">
        <is>
          <t>Exclude</t>
        </is>
      </c>
      <c r="F220" s="14" t="inlineStr">
        <is>
          <t>Overlapping or duplicate dataset — recurring statistical report (ACS-Annual); re-reports SEER/NPCR/NAACCR data already captured by primary studies + series representative</t>
        </is>
      </c>
      <c r="G220" s="15" t="inlineStr"/>
      <c r="H220" s="15" t="inlineStr"/>
      <c r="I220" s="16" t="inlineStr"/>
    </row>
    <row r="221">
      <c r="A221" s="13" t="inlineStr">
        <is>
          <t>3373</t>
        </is>
      </c>
      <c r="B221" s="14" t="inlineStr">
        <is>
          <t>Cancer Statistics, 2004 (2004)</t>
        </is>
      </c>
      <c r="C221" s="13" t="inlineStr">
        <is>
          <t>14974761</t>
        </is>
      </c>
      <c r="D221" s="13" t="inlineStr">
        <is>
          <t>10.3322/canjclin.54.1.8</t>
        </is>
      </c>
      <c r="E221" s="13" t="inlineStr">
        <is>
          <t>Exclude</t>
        </is>
      </c>
      <c r="F221" s="14" t="inlineStr">
        <is>
          <t>Overlapping or duplicate dataset — recurring statistical report (ACS-Annual); re-reports SEER/NPCR/NAACCR data already captured by primary studies + series representative</t>
        </is>
      </c>
      <c r="G221" s="15" t="inlineStr"/>
      <c r="H221" s="15" t="inlineStr"/>
      <c r="I221" s="16" t="inlineStr"/>
    </row>
    <row r="222">
      <c r="A222" s="13" t="inlineStr">
        <is>
          <t>3429</t>
        </is>
      </c>
      <c r="B222" s="14" t="inlineStr">
        <is>
          <t>Cancer statistics, 2002 (2002)</t>
        </is>
      </c>
      <c r="C222" s="13" t="inlineStr">
        <is>
          <t>11814064</t>
        </is>
      </c>
      <c r="D222" s="13" t="inlineStr">
        <is>
          <t>10.3322/canjclin.52.1.23</t>
        </is>
      </c>
      <c r="E222" s="13" t="inlineStr">
        <is>
          <t>Exclude</t>
        </is>
      </c>
      <c r="F222" s="14" t="inlineStr">
        <is>
          <t>Overlapping or duplicate dataset — recurring statistical report (ACS-Annual); re-reports SEER/NPCR/NAACCR data already captured by primary studies + series representative</t>
        </is>
      </c>
      <c r="G222" s="15" t="inlineStr"/>
      <c r="H222" s="15" t="inlineStr"/>
      <c r="I222" s="16" t="inlineStr"/>
    </row>
    <row r="223">
      <c r="A223" s="13" t="inlineStr">
        <is>
          <t>3522</t>
        </is>
      </c>
      <c r="B223" s="14" t="inlineStr">
        <is>
          <t>Annual Report to the Nation on the Status of Cancer, part 2: Early assessment of the COVID-19 pandemic’s impact on cancer diagnosis (2024)</t>
        </is>
      </c>
      <c r="C223" s="13" t="inlineStr"/>
      <c r="D223" s="13" t="inlineStr">
        <is>
          <t>10.1002/cncr.35026</t>
        </is>
      </c>
      <c r="E223" s="13" t="inlineStr">
        <is>
          <t>Exclude</t>
        </is>
      </c>
      <c r="F223" s="14" t="inlineStr">
        <is>
          <t>Overlapping or duplicate dataset — recurring statistical report (ARN); re-reports SEER/NPCR/NAACCR data already captured by primary studies + series representative</t>
        </is>
      </c>
      <c r="G223" s="15" t="inlineStr"/>
      <c r="H223" s="15" t="inlineStr"/>
      <c r="I223" s="16" t="inlineStr"/>
    </row>
    <row r="224">
      <c r="A224" s="13" t="inlineStr">
        <is>
          <t>3713</t>
        </is>
      </c>
      <c r="B224" s="14" t="inlineStr">
        <is>
          <t>Cancer incidence and mortality among Filipinos in the USA and the Philippines: Patterns and trends (2016)</t>
        </is>
      </c>
      <c r="C224" s="13" t="inlineStr"/>
      <c r="D224" s="13" t="inlineStr">
        <is>
          <t>10.1007/978-3-319-41118-7_3</t>
        </is>
      </c>
      <c r="E224" s="13" t="inlineStr">
        <is>
          <t>Exclude</t>
        </is>
      </c>
      <c r="F224" s="14" t="inlineStr">
        <is>
          <t>Overlapping or duplicate dataset — Scopus book chapter (Springer, no PubMed); secondary Filipino synthesis - data covered by primary 80/100/4098</t>
        </is>
      </c>
      <c r="G224" s="15" t="inlineStr"/>
      <c r="H224" s="15" t="inlineStr"/>
      <c r="I224" s="16" t="inlineStr"/>
    </row>
    <row r="225">
      <c r="A225" s="13" t="inlineStr">
        <is>
          <t>4035</t>
        </is>
      </c>
      <c r="B225" s="14" t="inlineStr">
        <is>
          <t>Annual report to the nation on the status of cancer, 1975-2001, with a special feature regarding survival (2004)</t>
        </is>
      </c>
      <c r="C225" s="13" t="inlineStr">
        <is>
          <t>15221985</t>
        </is>
      </c>
      <c r="D225" s="13" t="inlineStr">
        <is>
          <t>10.1002/cncr.20288</t>
        </is>
      </c>
      <c r="E225" s="13" t="inlineStr">
        <is>
          <t>Exclude</t>
        </is>
      </c>
      <c r="F225" s="14" t="inlineStr">
        <is>
          <t>Overlapping or duplicate dataset — recurring statistical report (ARN); re-reports SEER/NPCR/NAACCR data already captured by primary studies + series representative</t>
        </is>
      </c>
      <c r="G225" s="15" t="inlineStr"/>
      <c r="H225" s="15" t="inlineStr"/>
      <c r="I225" s="16" t="inlineStr"/>
    </row>
    <row r="226">
      <c r="A226" s="13" t="inlineStr">
        <is>
          <t>4050</t>
        </is>
      </c>
      <c r="B226" s="14" t="inlineStr">
        <is>
          <t>Annual Report to the Nation on the Status of Cancer, 19752009, Featuring the Burden and Trends in Human Papillomavirus (HPV)Associated Cancers and HPV Vaccination Coverage Levels (2013)</t>
        </is>
      </c>
      <c r="C226" s="13" t="inlineStr">
        <is>
          <t>23297039</t>
        </is>
      </c>
      <c r="D226" s="13" t="inlineStr">
        <is>
          <t>10.1093/jnci/djs491</t>
        </is>
      </c>
      <c r="E226" s="13" t="inlineStr">
        <is>
          <t>Exclude</t>
        </is>
      </c>
      <c r="F226" s="14" t="inlineStr">
        <is>
          <t>Overlapping or duplicate dataset — recurring statistical report (ARN); re-reports SEER/NPCR/NAACCR data already captured by primary studies + series representative</t>
        </is>
      </c>
      <c r="G226" s="15" t="inlineStr"/>
      <c r="H226" s="15" t="inlineStr"/>
      <c r="I226" s="16" t="inlineStr"/>
    </row>
    <row r="227">
      <c r="A227" s="13" t="inlineStr">
        <is>
          <t>4057</t>
        </is>
      </c>
      <c r="B227" s="14" t="inlineStr">
        <is>
          <t>Breast cancer statistics, 2011 (2011)</t>
        </is>
      </c>
      <c r="C227" s="13" t="inlineStr">
        <is>
          <t>21969133</t>
        </is>
      </c>
      <c r="D227" s="13" t="inlineStr">
        <is>
          <t>10.3322/caac.20134</t>
        </is>
      </c>
      <c r="E227" s="13" t="inlineStr">
        <is>
          <t>Exclude</t>
        </is>
      </c>
      <c r="F227" s="14" t="inlineStr">
        <is>
          <t>Overlapping or duplicate dataset — recurring statistical report (ACS-BreastStats); re-reports SEER/NPCR/NAACCR data already captured by primary studies + series representative</t>
        </is>
      </c>
      <c r="G227" s="15" t="inlineStr"/>
      <c r="H227" s="15" t="inlineStr"/>
      <c r="I227" s="16" t="inlineStr"/>
    </row>
    <row r="228">
      <c r="A228" s="13" t="inlineStr">
        <is>
          <t>4065</t>
        </is>
      </c>
      <c r="B228" s="14" t="inlineStr">
        <is>
          <t>Cancer Statistics, 2014 (2014)</t>
        </is>
      </c>
      <c r="C228" s="13" t="inlineStr">
        <is>
          <t>24399786</t>
        </is>
      </c>
      <c r="D228" s="13" t="inlineStr">
        <is>
          <t>10.3322/caac.21208</t>
        </is>
      </c>
      <c r="E228" s="13" t="inlineStr">
        <is>
          <t>Exclude</t>
        </is>
      </c>
      <c r="F228" s="14" t="inlineStr">
        <is>
          <t>Overlapping or duplicate dataset — recurring statistical report (ACS-Annual); re-reports SEER/NPCR/NAACCR data already captured by primary studies + series representative</t>
        </is>
      </c>
      <c r="G228" s="15" t="inlineStr"/>
      <c r="H228" s="15" t="inlineStr"/>
      <c r="I228" s="16" t="inlineStr"/>
    </row>
    <row r="229">
      <c r="A229" s="13" t="inlineStr">
        <is>
          <t>4066</t>
        </is>
      </c>
      <c r="B229" s="14" t="inlineStr">
        <is>
          <t>Annual Report to the Nation on the Status of Cancer, 1975-2007, Featuring Tumors of the Brain and Other Nervous System (2011)</t>
        </is>
      </c>
      <c r="C229" s="13" t="inlineStr">
        <is>
          <t>21454908</t>
        </is>
      </c>
      <c r="D229" s="13" t="inlineStr">
        <is>
          <t>10.1093/jnci/djr077</t>
        </is>
      </c>
      <c r="E229" s="13" t="inlineStr">
        <is>
          <t>Exclude</t>
        </is>
      </c>
      <c r="F229" s="14" t="inlineStr">
        <is>
          <t>Overlapping or duplicate dataset — recurring statistical report (ARN); re-reports SEER/NPCR/NAACCR data already captured by primary studies + series representative</t>
        </is>
      </c>
      <c r="G229" s="15" t="inlineStr"/>
      <c r="H229" s="15" t="inlineStr"/>
      <c r="I229" s="16" t="inlineStr"/>
    </row>
    <row r="230">
      <c r="A230" s="13" t="inlineStr">
        <is>
          <t>4071</t>
        </is>
      </c>
      <c r="B230" s="14" t="inlineStr">
        <is>
          <t>Annual report to the nation on the status of cancer, 1975-2000, featuring the uses of surveillance data for cancer prevention and control (2003)</t>
        </is>
      </c>
      <c r="C230" s="13" t="inlineStr">
        <is>
          <t>12953083</t>
        </is>
      </c>
      <c r="D230" s="13" t="inlineStr">
        <is>
          <t>10.1093/jnci/djg040</t>
        </is>
      </c>
      <c r="E230" s="13" t="inlineStr">
        <is>
          <t>Exclude</t>
        </is>
      </c>
      <c r="F230" s="14" t="inlineStr">
        <is>
          <t>Overlapping or duplicate dataset — recurring statistical report (ARN); re-reports SEER/NPCR/NAACCR data already captured by primary studies + series representative</t>
        </is>
      </c>
      <c r="G230" s="15" t="inlineStr"/>
      <c r="H230" s="15" t="inlineStr"/>
      <c r="I230" s="16" t="inlineStr"/>
    </row>
    <row r="231">
      <c r="A231" s="13" t="inlineStr">
        <is>
          <t>4164</t>
        </is>
      </c>
      <c r="B231" s="14" t="inlineStr">
        <is>
          <t>Annual Report to the Nation on the Status of Cancer, 1975-2005, Featuring Trends in Lung Cancer, Tobacco Use, and Tobacco Control (2008)</t>
        </is>
      </c>
      <c r="C231" s="13" t="inlineStr">
        <is>
          <t>19033571</t>
        </is>
      </c>
      <c r="D231" s="13" t="inlineStr">
        <is>
          <t>10.1093/jnci/djn389</t>
        </is>
      </c>
      <c r="E231" s="13" t="inlineStr">
        <is>
          <t>Exclude</t>
        </is>
      </c>
      <c r="F231" s="14" t="inlineStr">
        <is>
          <t>Overlapping or duplicate dataset — recurring statistical report (ARN); re-reports SEER/NPCR/NAACCR data already captured by primary studies + series representative</t>
        </is>
      </c>
      <c r="G231" s="15" t="inlineStr"/>
      <c r="H231" s="15" t="inlineStr"/>
      <c r="I231" s="16" t="inlineStr"/>
    </row>
    <row r="232">
      <c r="A232" s="13" t="inlineStr">
        <is>
          <t>4172</t>
        </is>
      </c>
      <c r="B232" s="14" t="inlineStr">
        <is>
          <t>Cancer statistics, 2013 (2013)</t>
        </is>
      </c>
      <c r="C232" s="13" t="inlineStr">
        <is>
          <t>23335087</t>
        </is>
      </c>
      <c r="D232" s="13" t="inlineStr">
        <is>
          <t>10.3322/caac.21166</t>
        </is>
      </c>
      <c r="E232" s="13" t="inlineStr">
        <is>
          <t>Exclude</t>
        </is>
      </c>
      <c r="F232" s="14" t="inlineStr">
        <is>
          <t>Overlapping or duplicate dataset — recurring statistical report (ACS-Annual); re-reports SEER/NPCR/NAACCR data already captured by primary studies + series representative</t>
        </is>
      </c>
      <c r="G232" s="15" t="inlineStr"/>
      <c r="H232" s="15" t="inlineStr"/>
      <c r="I232" s="16" t="inlineStr"/>
    </row>
    <row r="233">
      <c r="A233" s="13" t="inlineStr">
        <is>
          <t>4213</t>
        </is>
      </c>
      <c r="B233" s="14" t="inlineStr">
        <is>
          <t>Cancer statistics for Hispanics/Latinos, 2012 (2012)</t>
        </is>
      </c>
      <c r="C233" s="13" t="inlineStr">
        <is>
          <t>22987332</t>
        </is>
      </c>
      <c r="D233" s="13" t="inlineStr">
        <is>
          <t>10.3322/caac.21153</t>
        </is>
      </c>
      <c r="E233" s="13" t="inlineStr">
        <is>
          <t>Exclude</t>
        </is>
      </c>
      <c r="F233" s="14" t="inlineStr">
        <is>
          <t>Overlapping or duplicate dataset — recurring statistical report (ACS-Hispanic); re-reports SEER/NPCR/NAACCR data already captured by primary studies + series representative</t>
        </is>
      </c>
      <c r="G233" s="15" t="inlineStr"/>
      <c r="H233" s="15" t="inlineStr"/>
      <c r="I233" s="16" t="inlineStr"/>
    </row>
    <row r="234">
      <c r="A234" s="13" t="inlineStr">
        <is>
          <t>4216</t>
        </is>
      </c>
      <c r="B234" s="14" t="inlineStr">
        <is>
          <t>Annual Report to the Nation on the status of cancer, 1975-2008, featuring cancers associated with excess weight and lack of sufficient physical activity (2012)</t>
        </is>
      </c>
      <c r="C234" s="13" t="inlineStr">
        <is>
          <t>22460733</t>
        </is>
      </c>
      <c r="D234" s="13" t="inlineStr">
        <is>
          <t>10.1002/cncr.27514</t>
        </is>
      </c>
      <c r="E234" s="13" t="inlineStr">
        <is>
          <t>Exclude</t>
        </is>
      </c>
      <c r="F234" s="14" t="inlineStr">
        <is>
          <t>Overlapping or duplicate dataset — recurring statistical report (ARN); re-reports SEER/NPCR/NAACCR data already captured by primary studies + series representative</t>
        </is>
      </c>
      <c r="G234" s="15" t="inlineStr"/>
      <c r="H234" s="15" t="inlineStr"/>
      <c r="I234" s="16" t="inlineStr"/>
    </row>
    <row r="235">
      <c r="A235" s="13" t="inlineStr">
        <is>
          <t>4357</t>
        </is>
      </c>
      <c r="B235" s="14" t="inlineStr">
        <is>
          <t>Cancer statistics for Hispanics, 2003 (2003)</t>
        </is>
      </c>
      <c r="C235" s="13" t="inlineStr">
        <is>
          <t>12924775</t>
        </is>
      </c>
      <c r="D235" s="13" t="inlineStr">
        <is>
          <t>10.3322/canjclin.53.4.208</t>
        </is>
      </c>
      <c r="E235" s="13" t="inlineStr">
        <is>
          <t>Exclude</t>
        </is>
      </c>
      <c r="F235" s="14" t="inlineStr">
        <is>
          <t>Overlapping or duplicate dataset — recurring statistical report (ACS-Hispanic); re-reports SEER/NPCR/NAACCR data already captured by primary studies + series representative</t>
        </is>
      </c>
      <c r="G235" s="15" t="inlineStr"/>
      <c r="H235" s="15" t="inlineStr"/>
      <c r="I235" s="16" t="inlineStr"/>
    </row>
    <row r="236">
      <c r="A236" s="13" t="inlineStr">
        <is>
          <t>157</t>
        </is>
      </c>
      <c r="B236" s="14" t="inlineStr">
        <is>
          <t>Breast cancer trends among black and white women in the United States (2005)</t>
        </is>
      </c>
      <c r="C236" s="13" t="inlineStr">
        <is>
          <t>16258086</t>
        </is>
      </c>
      <c r="D236" s="13" t="inlineStr">
        <is>
          <t>10.1200/jco.2004.01.0421</t>
        </is>
      </c>
      <c r="E236" s="13" t="inlineStr">
        <is>
          <t>Exclude</t>
        </is>
      </c>
      <c r="F236" s="14" t="inlineStr">
        <is>
          <t>Full text unavailable — could not obtain: ASCO/JCO paywalled + bot-blocked; Black-White SEER trends, redundant with other B-W registry studies</t>
        </is>
      </c>
      <c r="G236" s="15" t="inlineStr"/>
      <c r="H236" s="15" t="inlineStr"/>
      <c r="I236" s="16" t="inlineStr"/>
    </row>
    <row r="237">
      <c r="A237" s="13" t="inlineStr">
        <is>
          <t>253</t>
        </is>
      </c>
      <c r="B237" s="14" t="inlineStr">
        <is>
          <t>Breast cancer patterns and lifetime risk of developing breast cancer among Puerto Rican females. (2000)</t>
        </is>
      </c>
      <c r="C237" s="13" t="inlineStr">
        <is>
          <t>10761199</t>
        </is>
      </c>
      <c r="D237" s="13" t="inlineStr"/>
      <c r="E237" s="13" t="inlineStr">
        <is>
          <t>Exclude</t>
        </is>
      </c>
      <c r="F237" s="14" t="inlineStr">
        <is>
          <t>Full text unavailable — could not obtain: Puerto Rican lifetime risk (PRCCR); some overlap w/ other Hispanic/PR studies</t>
        </is>
      </c>
      <c r="G237" s="15" t="inlineStr"/>
      <c r="H237" s="15" t="inlineStr"/>
      <c r="I237" s="16" t="inlineStr"/>
    </row>
    <row r="238">
      <c r="A238" s="13" t="inlineStr">
        <is>
          <t>415</t>
        </is>
      </c>
      <c r="B238" s="14" t="inlineStr">
        <is>
          <t>Women's cancers among Alaska Natives 1969-2003. (2006)</t>
        </is>
      </c>
      <c r="C238" s="13" t="inlineStr">
        <is>
          <t>17929614</t>
        </is>
      </c>
      <c r="D238" s="13" t="inlineStr"/>
      <c r="E238" s="13" t="inlineStr">
        <is>
          <t>Exclude</t>
        </is>
      </c>
      <c r="F238" s="14" t="inlineStr">
        <is>
          <t>Full text unavailable — could not obtain: Women's cancers Alaska Natives 1969-2003; overlaps AK Native Registry (51) &amp; other AIAN</t>
        </is>
      </c>
      <c r="G238" s="15" t="inlineStr"/>
      <c r="H238" s="15" t="inlineStr"/>
      <c r="I238" s="16" t="inlineStr"/>
    </row>
    <row r="239">
      <c r="A239" s="13" t="inlineStr">
        <is>
          <t>424</t>
        </is>
      </c>
      <c r="B239" s="14" t="inlineStr">
        <is>
          <t>Breast cancer in a multiethnic cohort in Hawaii and Los Angeles: Risk factor-adjusted incidence in Japanese equals and in Hawaiians exceeds that in whites (2002)</t>
        </is>
      </c>
      <c r="C239" s="13" t="inlineStr">
        <is>
          <t>12223421</t>
        </is>
      </c>
      <c r="D239" s="13" t="inlineStr"/>
      <c r="E239" s="13" t="inlineStr">
        <is>
          <t>Exclude</t>
        </is>
      </c>
      <c r="F239" s="14" t="inlineStr">
        <is>
          <t>Full text unavailable — could not obtain: Hawaii/LA Multiethnic Cohort, Japanese risk-adjusted incidence; overlaps MEC subgroup studies</t>
        </is>
      </c>
      <c r="G239" s="15" t="inlineStr"/>
      <c r="H239" s="15" t="inlineStr"/>
      <c r="I239" s="16" t="inlineStr"/>
    </row>
    <row r="240">
      <c r="A240" s="13" t="inlineStr">
        <is>
          <t>428</t>
        </is>
      </c>
      <c r="B240" s="14" t="inlineStr">
        <is>
          <t>Women's cancers among Alaska Natives: [corrected] 1969-2003. (2007)</t>
        </is>
      </c>
      <c r="C240" s="13" t="inlineStr">
        <is>
          <t>18323374</t>
        </is>
      </c>
      <c r="D240" s="13" t="inlineStr"/>
      <c r="E240" s="13" t="inlineStr">
        <is>
          <t>Exclude</t>
        </is>
      </c>
      <c r="F240" s="14" t="inlineStr">
        <is>
          <t>Full text unavailable — could not obtain: Women's cancers Alaska Natives (corrected dup of 415)</t>
        </is>
      </c>
      <c r="G240" s="15" t="inlineStr"/>
      <c r="H240" s="15" t="inlineStr"/>
      <c r="I240" s="16" t="inlineStr"/>
    </row>
    <row r="241">
      <c r="A241" s="13" t="inlineStr">
        <is>
          <t>476</t>
        </is>
      </c>
      <c r="B241" s="14" t="inlineStr">
        <is>
          <t>Rural–urban disparities in breast cancer incidence among US women aged 20–49: trends by race/ethnicity, stage, poverty, and state from 2000–2019 (2026)</t>
        </is>
      </c>
      <c r="C241" s="13" t="inlineStr">
        <is>
          <t>41665696</t>
        </is>
      </c>
      <c r="D241" s="13" t="inlineStr">
        <is>
          <t>10.1007/s10552-026-02134-3</t>
        </is>
      </c>
      <c r="E241" s="13" t="inlineStr">
        <is>
          <t>Exclude</t>
        </is>
      </c>
      <c r="F241" s="14" t="inlineStr">
        <is>
          <t>Full text unavailable — could not obtain: Rural-urban BC 20-49 by race; overlaps other rural-urban studies (474,477,916,1800)</t>
        </is>
      </c>
      <c r="G241" s="15" t="inlineStr"/>
      <c r="H241" s="15" t="inlineStr"/>
      <c r="I241" s="16" t="inlineStr"/>
    </row>
    <row r="242">
      <c r="A242" s="13" t="inlineStr">
        <is>
          <t>2038</t>
        </is>
      </c>
      <c r="B242" s="14" t="inlineStr">
        <is>
          <t>Incidence trends in triple-negative breast cancer among women in the United States from 2010 to 2019 by race/ethnicity, age and tumor stage (2023)</t>
        </is>
      </c>
      <c r="C242" s="13" t="inlineStr"/>
      <c r="D242" s="13" t="inlineStr"/>
      <c r="E242" s="13" t="inlineStr">
        <is>
          <t>Exclude</t>
        </is>
      </c>
      <c r="F242" s="14" t="inlineStr">
        <is>
          <t>Full text unavailable — no DOI/PMID; could not obtain; TNBC-by-race topic covered by 155/209/286/2406</t>
        </is>
      </c>
      <c r="G242" s="15" t="inlineStr"/>
      <c r="H242" s="15" t="inlineStr"/>
      <c r="I242" s="16" t="inlineStr"/>
    </row>
    <row r="243">
      <c r="A243" s="13" t="inlineStr">
        <is>
          <t>3116</t>
        </is>
      </c>
      <c r="B243" s="14" t="inlineStr">
        <is>
          <t>Time trends and racial differences in female breast cancer incidence in Pennsylvania, 1985-2004 (2011)</t>
        </is>
      </c>
      <c r="C243" s="13" t="inlineStr"/>
      <c r="D243" s="13" t="inlineStr">
        <is>
          <t>10.1089/jwh.2010.2082</t>
        </is>
      </c>
      <c r="E243" s="13" t="inlineStr">
        <is>
          <t>Exclude</t>
        </is>
      </c>
      <c r="F243" s="14" t="inlineStr">
        <is>
          <t>Full text unavailable — could not obtain: Time trends BC incidence Pennsylvania 1985-2004; state registry, redundant regionally</t>
        </is>
      </c>
      <c r="G243" s="15" t="inlineStr"/>
      <c r="H243" s="15" t="inlineStr"/>
      <c r="I243" s="16" t="inlineStr"/>
    </row>
    <row r="244">
      <c r="A244" s="13" t="inlineStr">
        <is>
          <t>3268</t>
        </is>
      </c>
      <c r="B244" s="14" t="inlineStr">
        <is>
          <t>Improving cancer incidence estimates for American Indians in Wisconsin (2007)</t>
        </is>
      </c>
      <c r="C244" s="13" t="inlineStr">
        <is>
          <t>17844709</t>
        </is>
      </c>
      <c r="D244" s="13" t="inlineStr"/>
      <c r="E244" s="13" t="inlineStr">
        <is>
          <t>Exclude</t>
        </is>
      </c>
      <c r="F244" s="14" t="inlineStr">
        <is>
          <t>Full text unavailable — could not obtain: Improving cancer incidence estimates American Indians Wisconsin; AIAN methods, overlaps other AIAN</t>
        </is>
      </c>
      <c r="G244" s="15" t="inlineStr"/>
      <c r="H244" s="15" t="inlineStr"/>
      <c r="I244" s="16" t="inlineStr"/>
    </row>
  </sheetData>
  <autoFilter ref="A1:I244"/>
  <dataValidations count="2">
    <dataValidation sqref="G3:G244" showDropDown="0" showInputMessage="0" showErrorMessage="0" allowBlank="1" type="list">
      <formula1>"Include,Exclude"</formula1>
    </dataValidation>
    <dataValidation sqref="H3:H244"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5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4" customWidth="1" min="3" max="3"/>
    <col width="20" customWidth="1" min="4" max="4"/>
    <col width="30" customWidth="1" min="5" max="5"/>
  </cols>
  <sheetData>
    <row r="1" ht="34" customHeight="1">
      <c r="A1" s="10" t="inlineStr">
        <is>
          <t>record_id</t>
        </is>
      </c>
      <c r="B1" s="10" t="inlineStr">
        <is>
          <t>Title</t>
        </is>
      </c>
      <c r="C1" s="10" t="inlineStr">
        <is>
          <t>AI exclude reason</t>
        </is>
      </c>
      <c r="D1" s="10" t="inlineStr">
        <is>
          <t>AUTHOR: should this have been INCLUDED? (Yes/No)</t>
        </is>
      </c>
      <c r="E1" s="10" t="inlineStr">
        <is>
          <t>AUTHOR note</t>
        </is>
      </c>
    </row>
    <row r="2">
      <c r="A2" s="11" t="inlineStr">
        <is>
          <t>e.g. 5678</t>
        </is>
      </c>
      <c r="B2" s="12" t="inlineStr">
        <is>
          <t>Some title screened out at title/abstract stage</t>
        </is>
      </c>
      <c r="C2" s="12" t="inlineStr">
        <is>
          <t>Not relevant to the research question/topic</t>
        </is>
      </c>
      <c r="D2" s="11" t="inlineStr">
        <is>
          <t>No</t>
        </is>
      </c>
      <c r="E2" s="12" t="inlineStr">
        <is>
          <t>(note only if you disagree)</t>
        </is>
      </c>
    </row>
    <row r="3">
      <c r="A3" s="13" t="inlineStr">
        <is>
          <t>3192</t>
        </is>
      </c>
      <c r="B3" s="14" t="inlineStr">
        <is>
          <t>Mapping cancer mortality-to-incidence ratios to illustrate racial and sex disparities in a high-risk population</t>
        </is>
      </c>
      <c r="C3" s="14" t="inlineStr">
        <is>
          <t>Not relevant to the research question/topic</t>
        </is>
      </c>
      <c r="D3" s="15" t="inlineStr"/>
      <c r="E3" s="16" t="inlineStr"/>
    </row>
    <row r="4">
      <c r="A4" s="13" t="inlineStr">
        <is>
          <t>2883</t>
        </is>
      </c>
      <c r="B4" s="14" t="inlineStr">
        <is>
          <t>Breast cancer incidence rates among orthodox Jewish women</t>
        </is>
      </c>
      <c r="C4" s="14" t="inlineStr">
        <is>
          <t>Not relevant to the research question/topic</t>
        </is>
      </c>
      <c r="D4" s="15" t="inlineStr"/>
      <c r="E4" s="16" t="inlineStr"/>
    </row>
    <row r="5">
      <c r="A5" s="13" t="inlineStr">
        <is>
          <t>1860</t>
        </is>
      </c>
      <c r="B5" s="14" t="inlineStr">
        <is>
          <t>Interaction between body mass index and family history of cancer on the risk of female breast cancer</t>
        </is>
      </c>
      <c r="C5" s="14" t="inlineStr">
        <is>
          <t>Not a US population-based/registry study</t>
        </is>
      </c>
      <c r="D5" s="15" t="inlineStr"/>
      <c r="E5" s="16" t="inlineStr"/>
    </row>
    <row r="6">
      <c r="A6" s="13" t="inlineStr">
        <is>
          <t>2422</t>
        </is>
      </c>
      <c r="B6" s="14" t="inlineStr">
        <is>
          <t>Understanding molecular testing uptake across tumor types in eight countries: Results from a multinational cross-sectional survey</t>
        </is>
      </c>
      <c r="C6" s="14" t="inlineStr">
        <is>
          <t>Not relevant to the research question/topic</t>
        </is>
      </c>
      <c r="D6" s="15" t="inlineStr"/>
      <c r="E6" s="16" t="inlineStr"/>
    </row>
    <row r="7">
      <c r="A7" s="13" t="inlineStr">
        <is>
          <t>3971</t>
        </is>
      </c>
      <c r="B7" s="14" t="inlineStr">
        <is>
          <t>Common health problems in selected minority, ethnic, and cultural groups</t>
        </is>
      </c>
      <c r="C7" s="14" t="inlineStr">
        <is>
          <t>Editorials, commentaries, letters, or conference abstracts</t>
        </is>
      </c>
      <c r="D7" s="15" t="inlineStr"/>
      <c r="E7" s="16" t="inlineStr"/>
    </row>
    <row r="8">
      <c r="A8" s="13" t="inlineStr">
        <is>
          <t>1975</t>
        </is>
      </c>
      <c r="B8" s="14" t="inlineStr">
        <is>
          <t>Bridging the Health Disparities Gap in Decision-Making Among Limited English Proficient (LEP) Patients With Pelvic Floor Disorders</t>
        </is>
      </c>
      <c r="C8" s="14" t="inlineStr">
        <is>
          <t>Not relevant to the research question/topic</t>
        </is>
      </c>
      <c r="D8" s="15" t="inlineStr"/>
      <c r="E8" s="16" t="inlineStr"/>
    </row>
    <row r="9">
      <c r="A9" s="13" t="inlineStr">
        <is>
          <t>308</t>
        </is>
      </c>
      <c r="B9" s="14" t="inlineStr">
        <is>
          <t>Surveillance of screening-detected cancers (Colon and Rectum, Breast, and Cervix) - United States, 2004-2006</t>
        </is>
      </c>
      <c r="C9" s="14" t="inlineStr">
        <is>
          <t>Not relevant to the research question/topic</t>
        </is>
      </c>
      <c r="D9" s="15" t="inlineStr"/>
      <c r="E9" s="16" t="inlineStr"/>
    </row>
    <row r="10">
      <c r="A10" s="13" t="inlineStr">
        <is>
          <t>4276</t>
        </is>
      </c>
      <c r="B10" s="14" t="inlineStr">
        <is>
          <t>Predictors of Neck Reoperation and Mortality After Initial Total Thyroidectomy for Differentiated Thyroid Cancer</t>
        </is>
      </c>
      <c r="C10" s="14" t="inlineStr">
        <is>
          <t>Not relevant to the research question/topic</t>
        </is>
      </c>
      <c r="D10" s="15" t="inlineStr"/>
      <c r="E10" s="16" t="inlineStr"/>
    </row>
    <row r="11">
      <c r="A11" s="13" t="inlineStr">
        <is>
          <t>2395</t>
        </is>
      </c>
      <c r="B11" s="14" t="inlineStr">
        <is>
          <t>Nodal positivity decreases with age in women with early-stage, hormone receptor–positive breast cancer</t>
        </is>
      </c>
      <c r="C11" s="14" t="inlineStr">
        <is>
          <t>Not relevant to the research question/topic</t>
        </is>
      </c>
      <c r="D11" s="15" t="inlineStr"/>
      <c r="E11" s="16" t="inlineStr"/>
    </row>
    <row r="12">
      <c r="A12" s="13" t="inlineStr">
        <is>
          <t>3368</t>
        </is>
      </c>
      <c r="B12" s="14" t="inlineStr">
        <is>
          <t>BRCA germline mutations in Jewish women with uterine serous papillary carcinoma</t>
        </is>
      </c>
      <c r="C12" s="14" t="inlineStr">
        <is>
          <t>Not relevant to the research question/topic</t>
        </is>
      </c>
      <c r="D12" s="15" t="inlineStr"/>
      <c r="E12" s="16" t="inlineStr"/>
    </row>
    <row r="13">
      <c r="A13" s="13" t="inlineStr">
        <is>
          <t>3245</t>
        </is>
      </c>
      <c r="B13" s="14" t="inlineStr">
        <is>
          <t>Cosmetic outcome and patient satisfaction after skin-sparing mastectomy for breast cancer with immediate reconstruction of the breast</t>
        </is>
      </c>
      <c r="C13" s="14" t="inlineStr">
        <is>
          <t>Not a US population-based/registry study</t>
        </is>
      </c>
      <c r="D13" s="15" t="inlineStr"/>
      <c r="E13" s="16" t="inlineStr"/>
    </row>
    <row r="14">
      <c r="A14" s="13" t="inlineStr">
        <is>
          <t>1108</t>
        </is>
      </c>
      <c r="B14" s="14" t="inlineStr">
        <is>
          <t>Breast Cancer Risk From Modifiable and Nonmodifiable Risk Factors Among White Women in the United States</t>
        </is>
      </c>
      <c r="C14" s="14" t="inlineStr">
        <is>
          <t>Not relevant to the research question/topic</t>
        </is>
      </c>
      <c r="D14" s="15" t="inlineStr"/>
      <c r="E14" s="16" t="inlineStr"/>
    </row>
    <row r="15">
      <c r="A15" s="13" t="inlineStr">
        <is>
          <t>4606</t>
        </is>
      </c>
      <c r="B15" s="14" t="inlineStr">
        <is>
          <t>Mechanisms of cancer chemoprevention by soy isoflavone genistein</t>
        </is>
      </c>
      <c r="C15" s="14" t="inlineStr">
        <is>
          <t>Not relevant to the research question/topic</t>
        </is>
      </c>
      <c r="D15" s="15" t="inlineStr"/>
      <c r="E15" s="16" t="inlineStr"/>
    </row>
    <row r="16">
      <c r="A16" s="13" t="inlineStr">
        <is>
          <t>846</t>
        </is>
      </c>
      <c r="B16" s="14" t="inlineStr">
        <is>
          <t>The association of diabetes with breast cancer incidence and mortality in the Long Island Breast Cancer Study Project</t>
        </is>
      </c>
      <c r="C16" s="14" t="inlineStr">
        <is>
          <t>Not relevant to the research question/topic</t>
        </is>
      </c>
      <c r="D16" s="15" t="inlineStr"/>
      <c r="E16" s="16" t="inlineStr"/>
    </row>
    <row r="17">
      <c r="A17" s="13" t="inlineStr">
        <is>
          <t>1941</t>
        </is>
      </c>
      <c r="B17" s="14" t="inlineStr">
        <is>
          <t>Racial Disparities in Breast Cancer Treatments and Adverse Events in the SEER-Medicare Data</t>
        </is>
      </c>
      <c r="C17" s="14" t="inlineStr">
        <is>
          <t>Not relevant to the research question/topic</t>
        </is>
      </c>
      <c r="D17" s="15" t="inlineStr"/>
      <c r="E17" s="16" t="inlineStr"/>
    </row>
    <row r="18">
      <c r="A18" s="13" t="inlineStr">
        <is>
          <t>1027</t>
        </is>
      </c>
      <c r="B18" s="14" t="inlineStr">
        <is>
          <t>Occurrence of breast cancer subtypes in adolescent and young adult women</t>
        </is>
      </c>
      <c r="C18" s="14" t="inlineStr">
        <is>
          <t>Not relevant to the research question/topic</t>
        </is>
      </c>
      <c r="D18" s="15" t="inlineStr"/>
      <c r="E18" s="16" t="inlineStr"/>
    </row>
    <row r="19">
      <c r="A19" s="13" t="inlineStr">
        <is>
          <t>3740</t>
        </is>
      </c>
      <c r="B19" s="14" t="inlineStr">
        <is>
          <t>From cancer screening to treatment: Service delivery and referral in the National Breast and Cervical Cancer Early Detection Program</t>
        </is>
      </c>
      <c r="C19" s="14" t="inlineStr">
        <is>
          <t>Not relevant to the research question/topic</t>
        </is>
      </c>
      <c r="D19" s="15" t="inlineStr"/>
      <c r="E19" s="16" t="inlineStr"/>
    </row>
    <row r="20">
      <c r="A20" s="13" t="inlineStr">
        <is>
          <t>3255</t>
        </is>
      </c>
      <c r="B20" s="14" t="inlineStr">
        <is>
          <t>Comparison of propofol, droperidol, and metoclopramide for prophylaxis of postoperative nausea and vomiting after breast cancer surgery: A prospective, randomized, double-blind, placebo-controlled study in Japanese patients</t>
        </is>
      </c>
      <c r="C20" s="14" t="inlineStr">
        <is>
          <t>Not a US population-based/registry study</t>
        </is>
      </c>
      <c r="D20" s="15" t="inlineStr"/>
      <c r="E20" s="16" t="inlineStr"/>
    </row>
    <row r="21">
      <c r="A21" s="13" t="inlineStr">
        <is>
          <t>2169</t>
        </is>
      </c>
      <c r="B21" s="14" t="inlineStr">
        <is>
          <t>African-Ancestry Associated Gene Expression Signatures and Pathways in Triple Negative Breast Cancer, a Comparison across Women of African Descent</t>
        </is>
      </c>
      <c r="C21" s="14" t="inlineStr">
        <is>
          <t>Not relevant to the research question/topic</t>
        </is>
      </c>
      <c r="D21" s="15" t="inlineStr"/>
      <c r="E21" s="16" t="inlineStr"/>
    </row>
    <row r="22">
      <c r="A22" s="13" t="inlineStr">
        <is>
          <t>2217</t>
        </is>
      </c>
      <c r="B22" s="14" t="inlineStr">
        <is>
          <t>Impact of menopausal status on risk of metastatic recurrence of breast cancer</t>
        </is>
      </c>
      <c r="C22" s="14" t="inlineStr">
        <is>
          <t>Editorials, commentaries, letters, or conference abstracts</t>
        </is>
      </c>
      <c r="D22" s="15" t="inlineStr"/>
      <c r="E22" s="16" t="inlineStr"/>
    </row>
    <row r="23">
      <c r="A23" s="13" t="inlineStr">
        <is>
          <t>2587</t>
        </is>
      </c>
      <c r="B23" s="14" t="inlineStr">
        <is>
          <t>Cost-effectiveness of breast cancer screening using mammography in Vietnamese women</t>
        </is>
      </c>
      <c r="C23" s="14" t="inlineStr">
        <is>
          <t>Not a US population-based/registry study</t>
        </is>
      </c>
      <c r="D23" s="15" t="inlineStr"/>
      <c r="E23" s="16" t="inlineStr"/>
    </row>
    <row r="24">
      <c r="A24" s="13" t="inlineStr">
        <is>
          <t>1503</t>
        </is>
      </c>
      <c r="B24" s="14" t="inlineStr">
        <is>
          <t>Immunogenomic diversity of triple-negative breast cancers in obese and non-obese black and white women</t>
        </is>
      </c>
      <c r="C24" s="14" t="inlineStr">
        <is>
          <t>Not relevant to the research question/topic</t>
        </is>
      </c>
      <c r="D24" s="15" t="inlineStr"/>
      <c r="E24" s="16" t="inlineStr"/>
    </row>
    <row r="25">
      <c r="A25" s="13" t="inlineStr">
        <is>
          <t>953</t>
        </is>
      </c>
      <c r="B25" s="14" t="inlineStr">
        <is>
          <t>Nutrition and physical activity cancer prevention guidelines, cancer risk, and mortality in the women's health initiative</t>
        </is>
      </c>
      <c r="C25" s="14" t="inlineStr">
        <is>
          <t>Not relevant to the research question/topic</t>
        </is>
      </c>
      <c r="D25" s="15" t="inlineStr"/>
      <c r="E25" s="16" t="inlineStr"/>
    </row>
    <row r="26">
      <c r="A26" s="13" t="inlineStr">
        <is>
          <t>230</t>
        </is>
      </c>
      <c r="B26" s="14" t="inlineStr">
        <is>
          <t>Identification of racial disparities in breast cancer mortality: does scale  matter?</t>
        </is>
      </c>
      <c r="C26" s="14" t="inlineStr">
        <is>
          <t>Not relevant to the research question/topic</t>
        </is>
      </c>
      <c r="D26" s="15" t="inlineStr"/>
      <c r="E26" s="16" t="inlineStr"/>
    </row>
    <row r="27">
      <c r="A27" s="13" t="inlineStr">
        <is>
          <t>4179</t>
        </is>
      </c>
      <c r="B27" s="14" t="inlineStr">
        <is>
          <t>Incidence and outcomes of pregnancy-associated cancer in Australia, 1994-2008: a population-based linkage study</t>
        </is>
      </c>
      <c r="C27" s="14" t="inlineStr">
        <is>
          <t>Not a US population-based/registry study</t>
        </is>
      </c>
      <c r="D27" s="15" t="inlineStr"/>
      <c r="E27" s="16" t="inlineStr"/>
    </row>
    <row r="28">
      <c r="A28" s="13" t="inlineStr">
        <is>
          <t>2743</t>
        </is>
      </c>
      <c r="B28" s="14" t="inlineStr">
        <is>
          <t>Axillary evaluation and lymphedema in women with ductal carcinoma in situ</t>
        </is>
      </c>
      <c r="C28" s="14" t="inlineStr">
        <is>
          <t>Not relevant to the research question/topic</t>
        </is>
      </c>
      <c r="D28" s="15" t="inlineStr"/>
      <c r="E28" s="16" t="inlineStr"/>
    </row>
    <row r="29">
      <c r="A29" s="13" t="inlineStr">
        <is>
          <t>2730</t>
        </is>
      </c>
      <c r="B29" s="14" t="inlineStr">
        <is>
          <t>Reevaluation of RINT1 as a breast cancer predisposition gene</t>
        </is>
      </c>
      <c r="C29" s="14" t="inlineStr">
        <is>
          <t>Not relevant to the research question/topic</t>
        </is>
      </c>
      <c r="D29" s="15" t="inlineStr"/>
      <c r="E29" s="16" t="inlineStr"/>
    </row>
    <row r="30">
      <c r="A30" s="13" t="inlineStr">
        <is>
          <t>319</t>
        </is>
      </c>
      <c r="B30" s="14" t="inlineStr">
        <is>
          <t>Multi-site implementation of health education programs for Latinas.</t>
        </is>
      </c>
      <c r="C30" s="14" t="inlineStr">
        <is>
          <t>Not relevant to the research question/topic</t>
        </is>
      </c>
      <c r="D30" s="15" t="inlineStr"/>
      <c r="E30" s="16" t="inlineStr"/>
    </row>
    <row r="31">
      <c r="A31" s="13" t="inlineStr">
        <is>
          <t>864</t>
        </is>
      </c>
      <c r="B31" s="14" t="inlineStr">
        <is>
          <t>Elevated incidence of fractures in women with invasive breast cancer</t>
        </is>
      </c>
      <c r="C31" s="14" t="inlineStr">
        <is>
          <t>Not relevant to the research question/topic</t>
        </is>
      </c>
      <c r="D31" s="15" t="inlineStr"/>
      <c r="E31" s="16" t="inlineStr"/>
    </row>
    <row r="32">
      <c r="A32" s="13" t="inlineStr">
        <is>
          <t>1592</t>
        </is>
      </c>
      <c r="B32" s="14" t="inlineStr">
        <is>
          <t>Incidental Atypia in Patients Undergoing Chest Masculinization Surgery: An Observational Series</t>
        </is>
      </c>
      <c r="C32" s="14" t="inlineStr">
        <is>
          <t>Not relevant to the research question/topic</t>
        </is>
      </c>
      <c r="D32" s="15" t="inlineStr"/>
      <c r="E32" s="16" t="inlineStr"/>
    </row>
    <row r="33">
      <c r="A33" s="13" t="inlineStr">
        <is>
          <t>401</t>
        </is>
      </c>
      <c r="B33" s="14" t="inlineStr">
        <is>
          <t>Low frequency of p53 gene mutations in breast cancers of Japanese-American women</t>
        </is>
      </c>
      <c r="C33" s="14" t="inlineStr">
        <is>
          <t>Not relevant to the research question/topic</t>
        </is>
      </c>
      <c r="D33" s="15" t="inlineStr"/>
      <c r="E33" s="16" t="inlineStr"/>
    </row>
    <row r="34">
      <c r="A34" s="13" t="inlineStr">
        <is>
          <t>240</t>
        </is>
      </c>
      <c r="B34" s="14" t="inlineStr">
        <is>
          <t>IGF gene polymorphisms and breast cancer in African-American and hispanic women</t>
        </is>
      </c>
      <c r="C34" s="14" t="inlineStr">
        <is>
          <t>Not relevant to the research question/topic</t>
        </is>
      </c>
      <c r="D34" s="15" t="inlineStr"/>
      <c r="E34" s="16" t="inlineStr"/>
    </row>
    <row r="35">
      <c r="A35" s="13" t="inlineStr">
        <is>
          <t>512</t>
        </is>
      </c>
      <c r="B35" s="14" t="inlineStr">
        <is>
          <t>Studying the association between breast cancer and renal cell carcinoma</t>
        </is>
      </c>
      <c r="C35" s="14" t="inlineStr">
        <is>
          <t>Not relevant to the research question/topic</t>
        </is>
      </c>
      <c r="D35" s="15" t="inlineStr"/>
      <c r="E35" s="16" t="inlineStr"/>
    </row>
    <row r="36">
      <c r="A36" s="13" t="inlineStr">
        <is>
          <t>1097</t>
        </is>
      </c>
      <c r="B36" s="14" t="inlineStr">
        <is>
          <t>Association between rice consumption and risk of cancer incidence in the California Teachers Study</t>
        </is>
      </c>
      <c r="C36" s="14" t="inlineStr">
        <is>
          <t>Not relevant to the research question/topic</t>
        </is>
      </c>
      <c r="D36" s="15" t="inlineStr"/>
      <c r="E36" s="16" t="inlineStr"/>
    </row>
    <row r="37">
      <c r="A37" s="13" t="inlineStr">
        <is>
          <t>2145</t>
        </is>
      </c>
      <c r="B37" s="14" t="inlineStr">
        <is>
          <t>Impacts of SNPs on adverse events and trough concentration of imatinib in patients with gastrointestinal stromal tumors</t>
        </is>
      </c>
      <c r="C37" s="14" t="inlineStr">
        <is>
          <t>Not a US population-based/registry study</t>
        </is>
      </c>
      <c r="D37" s="15" t="inlineStr"/>
      <c r="E37" s="16" t="inlineStr"/>
    </row>
    <row r="38">
      <c r="A38" s="13" t="inlineStr">
        <is>
          <t>3849</t>
        </is>
      </c>
      <c r="B38" s="14" t="inlineStr">
        <is>
          <t>Epidemiology of inflammatory breast cancer</t>
        </is>
      </c>
      <c r="C38" s="14" t="inlineStr">
        <is>
          <t>Not relevant to the research question/topic</t>
        </is>
      </c>
      <c r="D38" s="15" t="inlineStr"/>
      <c r="E38" s="16" t="inlineStr"/>
    </row>
    <row r="39">
      <c r="A39" s="13" t="inlineStr">
        <is>
          <t>3174</t>
        </is>
      </c>
      <c r="B39" s="14" t="inlineStr">
        <is>
          <t>Maintenance of HCT116 colon cancer cell line conforms to a stochastic model but not a cancer stem cell model</t>
        </is>
      </c>
      <c r="C39" s="14" t="inlineStr">
        <is>
          <t>Not relevant to the research question/topic</t>
        </is>
      </c>
      <c r="D39" s="15" t="inlineStr"/>
      <c r="E39" s="16" t="inlineStr"/>
    </row>
    <row r="40">
      <c r="A40" s="13" t="inlineStr">
        <is>
          <t>2827</t>
        </is>
      </c>
      <c r="B40" s="14" t="inlineStr">
        <is>
          <t>An open-label, randomized, multicenter dose-finding study of once-per-cycle pegfilgrastim versus daily filgrastim in Chinese breast cancer patients receiving TAC chemotherapy</t>
        </is>
      </c>
      <c r="C40" s="14" t="inlineStr">
        <is>
          <t>Not a US population-based/registry study</t>
        </is>
      </c>
      <c r="D40" s="15" t="inlineStr"/>
      <c r="E40" s="16" t="inlineStr"/>
    </row>
    <row r="41">
      <c r="A41" s="13" t="inlineStr">
        <is>
          <t>1276</t>
        </is>
      </c>
      <c r="B41" s="14" t="inlineStr">
        <is>
          <t>Thymoquinone Alterations of the Apoptotic Gene Expressions and Cell Cycle Arrest in Genetically Distinct Triple-Negative Breast Cancer Cells</t>
        </is>
      </c>
      <c r="C41" s="14" t="inlineStr">
        <is>
          <t>Not relevant to the research question/topic</t>
        </is>
      </c>
      <c r="D41" s="15" t="inlineStr"/>
      <c r="E41" s="16" t="inlineStr"/>
    </row>
    <row r="42">
      <c r="A42" s="13" t="inlineStr">
        <is>
          <t>2722</t>
        </is>
      </c>
      <c r="B42" s="14" t="inlineStr">
        <is>
          <t>Risk of second primary malignancies among cancer survivors in the United States, 1992-2008</t>
        </is>
      </c>
      <c r="C42" s="14" t="inlineStr">
        <is>
          <t>Not relevant to the research question/topic</t>
        </is>
      </c>
      <c r="D42" s="15" t="inlineStr"/>
      <c r="E42" s="16" t="inlineStr"/>
    </row>
    <row r="43">
      <c r="A43" s="13" t="inlineStr">
        <is>
          <t>4736</t>
        </is>
      </c>
      <c r="B43" s="14" t="inlineStr">
        <is>
          <t>Biopathologic features and clinical significance of micrometatasis in the lymph node of early gastric cancer</t>
        </is>
      </c>
      <c r="C43" s="14" t="inlineStr">
        <is>
          <t>Not a US population-based/registry study</t>
        </is>
      </c>
      <c r="D43" s="15" t="inlineStr"/>
      <c r="E43" s="16" t="inlineStr"/>
    </row>
    <row r="44">
      <c r="A44" s="13" t="inlineStr">
        <is>
          <t>4018</t>
        </is>
      </c>
      <c r="B44" s="14" t="inlineStr">
        <is>
          <t>Can morbidity and mortality of SLE be improved?</t>
        </is>
      </c>
      <c r="C44" s="14" t="inlineStr">
        <is>
          <t>Not relevant to the research question/topic</t>
        </is>
      </c>
      <c r="D44" s="15" t="inlineStr"/>
      <c r="E44" s="16" t="inlineStr"/>
    </row>
    <row r="45">
      <c r="A45" s="13" t="inlineStr">
        <is>
          <t>619</t>
        </is>
      </c>
      <c r="B45" s="14" t="inlineStr">
        <is>
          <t>Strenuous physical activity and breast cancer risk in African-American women.</t>
        </is>
      </c>
      <c r="C45" s="14" t="inlineStr">
        <is>
          <t>Not relevant to the research question/topic</t>
        </is>
      </c>
      <c r="D45" s="15" t="inlineStr"/>
      <c r="E45" s="16" t="inlineStr"/>
    </row>
    <row r="46">
      <c r="A46" s="13" t="inlineStr">
        <is>
          <t>4620</t>
        </is>
      </c>
      <c r="B46" s="14" t="inlineStr">
        <is>
          <t>Association of Life-Course Educational Attainment and Breast Cancer Grade in the MEND Study</t>
        </is>
      </c>
      <c r="C46" s="14" t="inlineStr">
        <is>
          <t>Not a US population-based/registry study</t>
        </is>
      </c>
      <c r="D46" s="15" t="inlineStr"/>
      <c r="E46" s="16" t="inlineStr"/>
    </row>
    <row r="47">
      <c r="A47" s="13" t="inlineStr">
        <is>
          <t>1034</t>
        </is>
      </c>
      <c r="B47" s="14" t="inlineStr">
        <is>
          <t>Allostatic load and risk of invasive breast cancer among postmenopausal women in the U.S.</t>
        </is>
      </c>
      <c r="C47" s="14" t="inlineStr">
        <is>
          <t>Not relevant to the research question/topic</t>
        </is>
      </c>
      <c r="D47" s="15" t="inlineStr"/>
      <c r="E47" s="16" t="inlineStr"/>
    </row>
    <row r="48">
      <c r="A48" s="13" t="inlineStr">
        <is>
          <t>4280</t>
        </is>
      </c>
      <c r="B48" s="14" t="inlineStr">
        <is>
          <t>MDM2, MDM2-C, and mutant p53 expression influence breast cancer survival in a multiethnic population</t>
        </is>
      </c>
      <c r="C48" s="14" t="inlineStr">
        <is>
          <t>Not relevant to the research question/topic</t>
        </is>
      </c>
      <c r="D48" s="15" t="inlineStr"/>
      <c r="E48" s="16" t="inlineStr"/>
    </row>
    <row r="49">
      <c r="A49" s="13" t="inlineStr">
        <is>
          <t>2050</t>
        </is>
      </c>
      <c r="B49" s="14" t="inlineStr">
        <is>
          <t>Equity of Cancer and Diabetes Co-Occurrence: A National Study with 44 Million Person-Years of Follow-Up</t>
        </is>
      </c>
      <c r="C49" s="14" t="inlineStr">
        <is>
          <t>Not a US population-based/registry study</t>
        </is>
      </c>
      <c r="D49" s="15" t="inlineStr"/>
      <c r="E49" s="16" t="inlineStr"/>
    </row>
    <row r="50">
      <c r="A50" s="13" t="inlineStr">
        <is>
          <t>3325</t>
        </is>
      </c>
      <c r="B50" s="14" t="inlineStr">
        <is>
          <t>Patient Assistance to Reduce Breast Cancer Disparities</t>
        </is>
      </c>
      <c r="C50" s="14" t="inlineStr">
        <is>
          <t>Not relevant to the research question/topic</t>
        </is>
      </c>
      <c r="D50" s="15" t="inlineStr"/>
      <c r="E50" s="16" t="inlineStr"/>
    </row>
    <row r="51">
      <c r="A51" s="13" t="inlineStr">
        <is>
          <t>2670</t>
        </is>
      </c>
      <c r="B51" s="14" t="inlineStr">
        <is>
          <t>Transcutaneous Electric Nerve Stimulation Effects on Nausea and Vomit Chemotherapy-induced</t>
        </is>
      </c>
      <c r="C51" s="14" t="inlineStr">
        <is>
          <t>Not relevant to the research question/topic</t>
        </is>
      </c>
      <c r="D51" s="15" t="inlineStr"/>
      <c r="E51" s="16" t="inlineStr"/>
    </row>
    <row r="52">
      <c r="A52" s="13" t="inlineStr">
        <is>
          <t>580</t>
        </is>
      </c>
      <c r="B52" s="14" t="inlineStr">
        <is>
          <t>Refusal of Cancer-Directed Surgery by Breast Cancer Patients: Risk Factors and Survival Outcomes</t>
        </is>
      </c>
      <c r="C52" s="14" t="inlineStr">
        <is>
          <t>Not relevant to the research question/topic</t>
        </is>
      </c>
      <c r="D52" s="15" t="inlineStr"/>
      <c r="E52" s="16" t="inlineStr"/>
    </row>
    <row r="53">
      <c r="A53" s="13" t="inlineStr">
        <is>
          <t>1346</t>
        </is>
      </c>
      <c r="B53" s="14" t="inlineStr">
        <is>
          <t>Breast Cancer Screening and Incidence in Rural Central and Western Kenya: A Community-based Program</t>
        </is>
      </c>
      <c r="C53" s="14" t="inlineStr">
        <is>
          <t>Not a US population-based/registry study</t>
        </is>
      </c>
      <c r="D53" s="15" t="inlineStr"/>
      <c r="E53" s="16" t="inlineStr"/>
    </row>
    <row r="54">
      <c r="A54" s="13" t="inlineStr">
        <is>
          <t>1211</t>
        </is>
      </c>
      <c r="B54" s="14" t="inlineStr">
        <is>
          <t>Cancer mortality projections through 2026 among young adults in 15 upper-middle and high-income countries with focus on colorectal cancer</t>
        </is>
      </c>
      <c r="C54" s="14" t="inlineStr">
        <is>
          <t>Not a US population-based/registry study</t>
        </is>
      </c>
      <c r="D54" s="15" t="inlineStr"/>
      <c r="E54" s="16" t="inlineStr"/>
    </row>
    <row r="55">
      <c r="A55" s="13" t="inlineStr">
        <is>
          <t>2567</t>
        </is>
      </c>
      <c r="B55" s="14" t="inlineStr">
        <is>
          <t>Botulinum Toxin A for the Treatment of Chemotherapy Induced Peripheral Neuropathy</t>
        </is>
      </c>
      <c r="C55" s="14" t="inlineStr">
        <is>
          <t>Not relevant to the research question/topic</t>
        </is>
      </c>
      <c r="D55" s="15" t="inlineStr"/>
      <c r="E55" s="16" t="inlineStr"/>
    </row>
    <row r="56">
      <c r="A56" s="13" t="inlineStr">
        <is>
          <t>2339</t>
        </is>
      </c>
      <c r="B56" s="14" t="inlineStr">
        <is>
          <t>Few Losses to Follow-up in a Sub-Saharan African Cancer Cohort via Active Mobile Health Follow-up</t>
        </is>
      </c>
      <c r="C56" s="14" t="inlineStr">
        <is>
          <t>Not a US population-based/registry study</t>
        </is>
      </c>
      <c r="D56" s="15" t="inlineStr"/>
      <c r="E56" s="16" t="inlineStr"/>
    </row>
    <row r="57">
      <c r="A57" s="13" t="inlineStr">
        <is>
          <t>585</t>
        </is>
      </c>
      <c r="B57" s="14" t="inlineStr">
        <is>
          <t>Epidemiology, survival and risk of subsequent primary malignancies in patients with digital papillary adenocarcinoma: a retrospective study of 213 patients in the Surveillance, Epidemiology, and End Results Program</t>
        </is>
      </c>
      <c r="C57" s="14" t="inlineStr">
        <is>
          <t>Not relevant to the research question/topic</t>
        </is>
      </c>
      <c r="D57" s="15" t="inlineStr"/>
      <c r="E57" s="16" t="inlineStr"/>
    </row>
    <row r="58">
      <c r="A58" s="13" t="inlineStr">
        <is>
          <t>2653</t>
        </is>
      </c>
      <c r="B58" s="14" t="inlineStr">
        <is>
          <t>3D MRI for Quantitative Analysis of Quadrant Percent Breast Density: Correlation with Quadrant Location of Breast Cancer</t>
        </is>
      </c>
      <c r="C58" s="14" t="inlineStr">
        <is>
          <t>Not relevant to the research question/topic</t>
        </is>
      </c>
      <c r="D58" s="15" t="inlineStr"/>
      <c r="E58" s="16" t="inlineStr"/>
    </row>
    <row r="59">
      <c r="A59" s="13" t="inlineStr">
        <is>
          <t>335</t>
        </is>
      </c>
      <c r="B59" s="14" t="inlineStr">
        <is>
          <t>Theory, methods, and operational results of the Young Women’s Health History Study: a study of young-onset breast cancer incidence in Black and White women</t>
        </is>
      </c>
      <c r="C59" s="14" t="inlineStr">
        <is>
          <t>Not relevant to the research question/topic</t>
        </is>
      </c>
      <c r="D59" s="15" t="inlineStr"/>
      <c r="E59" s="16" t="inlineStr"/>
    </row>
    <row r="60">
      <c r="A60" s="13" t="inlineStr">
        <is>
          <t>2116</t>
        </is>
      </c>
      <c r="B60" s="14" t="inlineStr">
        <is>
          <t>Association of the PROGINS PgR polymorphism with susceptibility to female reproductive cancer: A meta-analysis of 30 studies</t>
        </is>
      </c>
      <c r="C60" s="14" t="inlineStr">
        <is>
          <t>Not relevant to the research question/topic</t>
        </is>
      </c>
      <c r="D60" s="15" t="inlineStr"/>
      <c r="E60" s="16" t="inlineStr"/>
    </row>
    <row r="61">
      <c r="A61" s="13" t="inlineStr">
        <is>
          <t>3653</t>
        </is>
      </c>
      <c r="B61" s="14" t="inlineStr">
        <is>
          <t>Corrigendum to “Recent developments in nutrimetabolomics: from food characterisation to disease prevention” [Curr Opin Food Sci 22 (2018) 145–152] (Current Opinion in Food Science (2018) 22 (145–152), (S2214799318300043), (10.1016/j.cofs.2018.03.012))</t>
        </is>
      </c>
      <c r="C61" s="14" t="inlineStr">
        <is>
          <t>Editorials, commentaries, letters, or conference abstracts</t>
        </is>
      </c>
      <c r="D61" s="15" t="inlineStr"/>
      <c r="E61" s="16" t="inlineStr"/>
    </row>
    <row r="62">
      <c r="A62" s="13" t="inlineStr">
        <is>
          <t>1215</t>
        </is>
      </c>
      <c r="B62" s="14" t="inlineStr">
        <is>
          <t>Global epidemiological trend of cancer incidence and death in adults aged 60  years and older: a systematic analysis of data from GLOBOCAN 2022 and GBD2021</t>
        </is>
      </c>
      <c r="C62" s="14" t="inlineStr">
        <is>
          <t>Not a US population-based/registry study</t>
        </is>
      </c>
      <c r="D62" s="15" t="inlineStr"/>
      <c r="E62" s="16" t="inlineStr"/>
    </row>
    <row r="63">
      <c r="A63" s="13" t="inlineStr">
        <is>
          <t>688</t>
        </is>
      </c>
      <c r="B63" s="14" t="inlineStr">
        <is>
          <t>Life after breast cancer: 'Being' a young African American survivor</t>
        </is>
      </c>
      <c r="C63" s="14" t="inlineStr">
        <is>
          <t>Not relevant to the research question/topic</t>
        </is>
      </c>
      <c r="D63" s="15" t="inlineStr"/>
      <c r="E63" s="16" t="inlineStr"/>
    </row>
    <row r="64">
      <c r="A64" s="13" t="inlineStr">
        <is>
          <t>4102</t>
        </is>
      </c>
      <c r="B64" s="14" t="inlineStr">
        <is>
          <t>Temporal Trends in Cancer Burden and 27 Subtypes Among Women of Childbearing Age Globally from 1990 to 2021</t>
        </is>
      </c>
      <c r="C64" s="14" t="inlineStr">
        <is>
          <t>Not a US population-based/registry study</t>
        </is>
      </c>
      <c r="D64" s="15" t="inlineStr"/>
      <c r="E64" s="16" t="inlineStr"/>
    </row>
    <row r="65">
      <c r="A65" s="13" t="inlineStr">
        <is>
          <t>4532</t>
        </is>
      </c>
      <c r="B65" s="14" t="inlineStr">
        <is>
          <t>Breast Cancer During Pregnancy: A Marked Propensity to Triple-Negative Phenotype</t>
        </is>
      </c>
      <c r="C65" s="14" t="inlineStr">
        <is>
          <t>Not relevant to the research question/topic</t>
        </is>
      </c>
      <c r="D65" s="15" t="inlineStr"/>
      <c r="E65" s="16" t="inlineStr"/>
    </row>
    <row r="66">
      <c r="A66" s="13" t="inlineStr">
        <is>
          <t>2589</t>
        </is>
      </c>
      <c r="B66" s="14" t="inlineStr">
        <is>
          <t>Disparities in breast, lung, and cervical cancer trials worldwide</t>
        </is>
      </c>
      <c r="C66" s="14" t="inlineStr">
        <is>
          <t>Not a US population-based/registry study</t>
        </is>
      </c>
      <c r="D66" s="15" t="inlineStr"/>
      <c r="E66" s="16" t="inlineStr"/>
    </row>
    <row r="67">
      <c r="A67" s="13" t="inlineStr">
        <is>
          <t>1979</t>
        </is>
      </c>
      <c r="B67" s="14" t="inlineStr">
        <is>
          <t>Opportunities for Achieving the Cancer Moonshot Goal of a 50% Reduction in Cancer Mortality by 2047</t>
        </is>
      </c>
      <c r="C67" s="14" t="inlineStr">
        <is>
          <t>Not relevant to the research question/topic</t>
        </is>
      </c>
      <c r="D67" s="15" t="inlineStr"/>
      <c r="E67" s="16" t="inlineStr"/>
    </row>
    <row r="68">
      <c r="A68" s="13" t="inlineStr">
        <is>
          <t>3961</t>
        </is>
      </c>
      <c r="B68" s="14" t="inlineStr">
        <is>
          <t>Modeling the effect of tamoxifen chemoprevention on long-term mortality in white women at high risk of breast cancer</t>
        </is>
      </c>
      <c r="C68" s="14" t="inlineStr">
        <is>
          <t>Not relevant to the research question/topic</t>
        </is>
      </c>
      <c r="D68" s="15" t="inlineStr"/>
      <c r="E68" s="16" t="inlineStr"/>
    </row>
    <row r="69">
      <c r="A69" s="13" t="inlineStr">
        <is>
          <t>4788</t>
        </is>
      </c>
      <c r="B69" s="14" t="inlineStr">
        <is>
          <t>Associations Between Medical Conditions and Alcohol Consumption Levels in an Adult Primary Care Population</t>
        </is>
      </c>
      <c r="C69" s="14" t="inlineStr">
        <is>
          <t>Not relevant to the research question/topic</t>
        </is>
      </c>
      <c r="D69" s="15" t="inlineStr"/>
      <c r="E69" s="16" t="inlineStr"/>
    </row>
    <row r="70">
      <c r="A70" s="13" t="inlineStr">
        <is>
          <t>1475</t>
        </is>
      </c>
      <c r="B70" s="14" t="inlineStr">
        <is>
          <t>The incidence of a second primary cancer diagnosis and impact on health-related quality of life in Black cancer survivors</t>
        </is>
      </c>
      <c r="C70" s="14" t="inlineStr">
        <is>
          <t>Not relevant to the research question/topic</t>
        </is>
      </c>
      <c r="D70" s="15" t="inlineStr"/>
      <c r="E70" s="16" t="inlineStr"/>
    </row>
    <row r="71">
      <c r="A71" s="13" t="inlineStr">
        <is>
          <t>275</t>
        </is>
      </c>
      <c r="B71" s="14" t="inlineStr">
        <is>
          <t>Demographic and geographic variations in breast cancer mortality among U.S. Hispanics</t>
        </is>
      </c>
      <c r="C71" s="14" t="inlineStr">
        <is>
          <t>Not relevant to the research question/topic</t>
        </is>
      </c>
      <c r="D71" s="15" t="inlineStr"/>
      <c r="E71" s="16" t="inlineStr"/>
    </row>
    <row r="72">
      <c r="A72" s="13" t="inlineStr">
        <is>
          <t>1257</t>
        </is>
      </c>
      <c r="B72" s="14" t="inlineStr">
        <is>
          <t>Mammogram Order Completion Rates Among Women with Diabetes</t>
        </is>
      </c>
      <c r="C72" s="14" t="inlineStr">
        <is>
          <t>Not relevant to the research question/topic</t>
        </is>
      </c>
      <c r="D72" s="15" t="inlineStr"/>
      <c r="E72" s="16" t="inlineStr"/>
    </row>
    <row r="73">
      <c r="A73" s="13" t="inlineStr">
        <is>
          <t>3970</t>
        </is>
      </c>
      <c r="B73" s="14" t="inlineStr">
        <is>
          <t>Epidemiology of cancer in the United States</t>
        </is>
      </c>
      <c r="C73" s="14" t="inlineStr">
        <is>
          <t>Not relevant to the research question/topic</t>
        </is>
      </c>
      <c r="D73" s="15" t="inlineStr"/>
      <c r="E73" s="16" t="inlineStr"/>
    </row>
    <row r="74">
      <c r="A74" s="13" t="inlineStr">
        <is>
          <t>1841</t>
        </is>
      </c>
      <c r="B74" s="14" t="inlineStr">
        <is>
          <t>Reproductive risk factors for breast cancer and association with novel breast density measurements among Hispanic, Black, and White women</t>
        </is>
      </c>
      <c r="C74" s="14" t="inlineStr">
        <is>
          <t>Not relevant to the research question/topic</t>
        </is>
      </c>
      <c r="D74" s="15" t="inlineStr"/>
      <c r="E74" s="16" t="inlineStr"/>
    </row>
    <row r="75">
      <c r="A75" s="13" t="inlineStr">
        <is>
          <t>1496</t>
        </is>
      </c>
      <c r="B75" s="14" t="inlineStr">
        <is>
          <t>The Bi-steric, mTORC1-Selective Inhibitor, RMC-5552, in Advanced Solid Tumors: A Phase 1 Trial</t>
        </is>
      </c>
      <c r="C75" s="14" t="inlineStr">
        <is>
          <t>Not relevant to the research question/topic</t>
        </is>
      </c>
      <c r="D75" s="15" t="inlineStr"/>
      <c r="E75" s="16" t="inlineStr"/>
    </row>
    <row r="76">
      <c r="A76" s="13" t="inlineStr">
        <is>
          <t>741</t>
        </is>
      </c>
      <c r="B76" s="14" t="inlineStr">
        <is>
          <t>Use of a geographic information system to identify and characterize areas with  high proportions of distant stage breast cancer</t>
        </is>
      </c>
      <c r="C76" s="14" t="inlineStr">
        <is>
          <t>Not relevant to the research question/topic</t>
        </is>
      </c>
      <c r="D76" s="15" t="inlineStr"/>
      <c r="E76" s="16" t="inlineStr"/>
    </row>
    <row r="77">
      <c r="A77" s="13" t="inlineStr">
        <is>
          <t>2809</t>
        </is>
      </c>
      <c r="B77" s="14" t="inlineStr">
        <is>
          <t>Social Cultural Influences on Breast Cancer Views and Breast Health Practices among Chinese Women in the United Kingdom</t>
        </is>
      </c>
      <c r="C77" s="14" t="inlineStr">
        <is>
          <t>Not a US population-based/registry study</t>
        </is>
      </c>
      <c r="D77" s="15" t="inlineStr"/>
      <c r="E77" s="16" t="inlineStr"/>
    </row>
    <row r="78">
      <c r="A78" s="13" t="inlineStr">
        <is>
          <t>1745</t>
        </is>
      </c>
      <c r="B78" s="14" t="inlineStr">
        <is>
          <t>A Research Protocol for Evaluating the Efficacy of Perfused Chemotherapeutic Agents for Bladder Cancer Based on Organoid technologyKYLL-202407-046-1</t>
        </is>
      </c>
      <c r="C78" s="14" t="inlineStr">
        <is>
          <t>Not relevant to the research question/topic</t>
        </is>
      </c>
      <c r="D78" s="15" t="inlineStr"/>
      <c r="E78" s="16" t="inlineStr"/>
    </row>
    <row r="79">
      <c r="A79" s="13" t="inlineStr">
        <is>
          <t>1578</t>
        </is>
      </c>
      <c r="B79" s="14" t="inlineStr">
        <is>
          <t>Aboriginal and Torres Strait Islander Females and Survival from Breast Cancer</t>
        </is>
      </c>
      <c r="C79" s="14" t="inlineStr">
        <is>
          <t>Not a US population-based/registry study</t>
        </is>
      </c>
      <c r="D79" s="15" t="inlineStr"/>
      <c r="E79" s="16" t="inlineStr"/>
    </row>
    <row r="80">
      <c r="A80" s="13" t="inlineStr">
        <is>
          <t>4558</t>
        </is>
      </c>
      <c r="B80" s="14" t="inlineStr">
        <is>
          <t>Neighbourhood environments, structural inequities, and colorectal cancer risk and mortality: analysis from the Southern Community Cohort Study</t>
        </is>
      </c>
      <c r="C80" s="14" t="inlineStr">
        <is>
          <t>Not relevant to the research question/topic</t>
        </is>
      </c>
      <c r="D80" s="15" t="inlineStr"/>
      <c r="E80" s="16" t="inlineStr"/>
    </row>
    <row r="81">
      <c r="A81" s="13" t="inlineStr">
        <is>
          <t>3647</t>
        </is>
      </c>
      <c r="B81" s="14" t="inlineStr">
        <is>
          <t>Sedentary behavior and risk of breast cancer: a dose–response meta-analysis from prospective studies</t>
        </is>
      </c>
      <c r="C81" s="14" t="inlineStr">
        <is>
          <t>Not relevant to the research question/topic</t>
        </is>
      </c>
      <c r="D81" s="15" t="inlineStr"/>
      <c r="E81" s="16" t="inlineStr"/>
    </row>
    <row r="82">
      <c r="A82" s="13" t="inlineStr">
        <is>
          <t>2433</t>
        </is>
      </c>
      <c r="B82" s="14" t="inlineStr">
        <is>
          <t>Reproductive and lifestyle factors related to breast cancer among Japanese women: An observational cohort study</t>
        </is>
      </c>
      <c r="C82" s="14" t="inlineStr">
        <is>
          <t>Not a US population-based/registry study</t>
        </is>
      </c>
      <c r="D82" s="15" t="inlineStr"/>
      <c r="E82" s="16" t="inlineStr"/>
    </row>
    <row r="83">
      <c r="A83" s="13" t="inlineStr">
        <is>
          <t>1419</t>
        </is>
      </c>
      <c r="B83" s="14" t="inlineStr">
        <is>
          <t>Long-term trends in cancer mortality by rural-urban status, United States, 1969-2023</t>
        </is>
      </c>
      <c r="C83" s="14" t="inlineStr">
        <is>
          <t>Not relevant to the research question/topic</t>
        </is>
      </c>
      <c r="D83" s="15" t="inlineStr"/>
      <c r="E83" s="16" t="inlineStr"/>
    </row>
    <row r="84">
      <c r="A84" s="13" t="inlineStr">
        <is>
          <t>305</t>
        </is>
      </c>
      <c r="B84" s="14" t="inlineStr">
        <is>
          <t>Racial/ethnic differences in the outcomes of patients with metastatic breast cancer: contributions of demographic, socioeconomic, tumor and metastatic characteristics</t>
        </is>
      </c>
      <c r="C84" s="14" t="inlineStr">
        <is>
          <t>Not relevant to the research question/topic</t>
        </is>
      </c>
      <c r="D84" s="15" t="inlineStr"/>
      <c r="E84" s="16" t="inlineStr"/>
    </row>
    <row r="85">
      <c r="A85" s="13" t="inlineStr">
        <is>
          <t>4107</t>
        </is>
      </c>
      <c r="B85" s="14" t="inlineStr">
        <is>
          <t>Incidence, mortality and receptor status of breast cancer in African Caribbean women: Data from the cancer registry of Guadeloupe</t>
        </is>
      </c>
      <c r="C85" s="14" t="inlineStr">
        <is>
          <t>Not a US population-based/registry study</t>
        </is>
      </c>
      <c r="D85" s="15" t="inlineStr"/>
      <c r="E85" s="16" t="inlineStr"/>
    </row>
    <row r="86">
      <c r="A86" s="13" t="inlineStr">
        <is>
          <t>3690</t>
        </is>
      </c>
      <c r="B86" s="14" t="inlineStr">
        <is>
          <t>Cancer in the context of aging: Health characteristics, function and caregiving needs prior to a new cancer diagnosis in a national sample of older adults</t>
        </is>
      </c>
      <c r="C86" s="14" t="inlineStr">
        <is>
          <t>Not relevant to the research question/topic</t>
        </is>
      </c>
      <c r="D86" s="15" t="inlineStr"/>
      <c r="E86" s="16" t="inlineStr"/>
    </row>
    <row r="87">
      <c r="A87" s="13" t="inlineStr">
        <is>
          <t>1878</t>
        </is>
      </c>
      <c r="B87" s="14" t="inlineStr">
        <is>
          <t>Prognostic analysis of cT1-3N1M0 breast cancer patients who have responded to neoadjuvant therapy undergoing various axillary surgery and breast surgery based on propensity score matching and competitive risk model</t>
        </is>
      </c>
      <c r="C87" s="14" t="inlineStr">
        <is>
          <t>Not relevant to the research question/topic</t>
        </is>
      </c>
      <c r="D87" s="15" t="inlineStr"/>
      <c r="E87" s="16" t="inlineStr"/>
    </row>
    <row r="88">
      <c r="A88" s="13" t="inlineStr">
        <is>
          <t>337</t>
        </is>
      </c>
      <c r="B88" s="14" t="inlineStr">
        <is>
          <t>Family history and age at onset of breast cancer in Hispanic and non-Hispanic  white women</t>
        </is>
      </c>
      <c r="C88" s="14" t="inlineStr">
        <is>
          <t>Not relevant to the research question/topic</t>
        </is>
      </c>
      <c r="D88" s="15" t="inlineStr"/>
      <c r="E88" s="16" t="inlineStr"/>
    </row>
    <row r="89">
      <c r="A89" s="13" t="inlineStr">
        <is>
          <t>2344</t>
        </is>
      </c>
      <c r="B89" s="14" t="inlineStr">
        <is>
          <t>Remote Breast Cancer Screening Based on Automated Breast Ultrasound Among Chinese Women: a Multi-center, Prospective, Cohort Study</t>
        </is>
      </c>
      <c r="C89" s="14" t="inlineStr">
        <is>
          <t>Not a US population-based/registry study</t>
        </is>
      </c>
      <c r="D89" s="15" t="inlineStr"/>
      <c r="E89" s="16" t="inlineStr"/>
    </row>
    <row r="90">
      <c r="A90" s="13" t="inlineStr">
        <is>
          <t>4032</t>
        </is>
      </c>
      <c r="B90" s="14" t="inlineStr">
        <is>
          <t>Cumulative incidence rates of breast cancer for Filipinos and Chamorros in Guam and the United States</t>
        </is>
      </c>
      <c r="C90" s="14" t="inlineStr">
        <is>
          <t>Editorials, commentaries, letters, or conference abstracts</t>
        </is>
      </c>
      <c r="D90" s="15" t="inlineStr"/>
      <c r="E90" s="16" t="inlineStr"/>
    </row>
    <row r="91">
      <c r="A91" s="13" t="inlineStr">
        <is>
          <t>3157</t>
        </is>
      </c>
      <c r="B91" s="14" t="inlineStr">
        <is>
          <t>Glucose metabolism disorders in cancer patients in a Chinese population</t>
        </is>
      </c>
      <c r="C91" s="14" t="inlineStr">
        <is>
          <t>Not a US population-based/registry study</t>
        </is>
      </c>
      <c r="D91" s="15" t="inlineStr"/>
      <c r="E91" s="16" t="inlineStr"/>
    </row>
    <row r="92">
      <c r="A92" s="13" t="inlineStr">
        <is>
          <t>4668</t>
        </is>
      </c>
      <c r="B92" s="14" t="inlineStr">
        <is>
          <t>Development and validation of an individualized risk prediction model for oropharynx cancer in the US population</t>
        </is>
      </c>
      <c r="C92" s="14" t="inlineStr">
        <is>
          <t>Not relevant to the research question/topic</t>
        </is>
      </c>
      <c r="D92" s="15" t="inlineStr"/>
      <c r="E92" s="16" t="inlineStr"/>
    </row>
    <row r="93">
      <c r="A93" s="13" t="inlineStr">
        <is>
          <t>1854</t>
        </is>
      </c>
      <c r="B93" s="14" t="inlineStr">
        <is>
          <t>Disparities in DCIS</t>
        </is>
      </c>
      <c r="C93" s="14" t="inlineStr">
        <is>
          <t>Not relevant to the research question/topic</t>
        </is>
      </c>
      <c r="D93" s="15" t="inlineStr"/>
      <c r="E93" s="16" t="inlineStr"/>
    </row>
    <row r="94">
      <c r="A94" s="13" t="inlineStr">
        <is>
          <t>4165</t>
        </is>
      </c>
      <c r="B94" s="14" t="inlineStr">
        <is>
          <t>Risk of uterine leiomyomata in relation to tobacco, alcohol and caffeine consumption in the Black Women's Health Study</t>
        </is>
      </c>
      <c r="C94" s="14" t="inlineStr">
        <is>
          <t>Not relevant to the research question/topic</t>
        </is>
      </c>
      <c r="D94" s="15" t="inlineStr"/>
      <c r="E94" s="16" t="inlineStr"/>
    </row>
    <row r="95">
      <c r="A95" s="13" t="inlineStr">
        <is>
          <t>1171</t>
        </is>
      </c>
      <c r="B95" s="14" t="inlineStr">
        <is>
          <t>Multi-omics inference of differential breast cancer-related transcriptional regulatory network gene hubs between young Black and White patients</t>
        </is>
      </c>
      <c r="C95" s="14" t="inlineStr">
        <is>
          <t>Not relevant to the research question/topic</t>
        </is>
      </c>
      <c r="D95" s="15" t="inlineStr"/>
      <c r="E95" s="16" t="inlineStr"/>
    </row>
    <row r="96">
      <c r="A96" s="13" t="inlineStr">
        <is>
          <t>2056</t>
        </is>
      </c>
      <c r="B96" s="14" t="inlineStr">
        <is>
          <t>Prediction of breast cancer risk among women of the Mariana Islands: the BRISK retrospective case-control study</t>
        </is>
      </c>
      <c r="C96" s="14" t="inlineStr">
        <is>
          <t>Not relevant to the research question/topic</t>
        </is>
      </c>
      <c r="D96" s="15" t="inlineStr"/>
      <c r="E96" s="16" t="inlineStr"/>
    </row>
    <row r="97">
      <c r="A97" s="13" t="inlineStr">
        <is>
          <t>1558</t>
        </is>
      </c>
      <c r="B97" s="14" t="inlineStr">
        <is>
          <t>The Brazilian Genome Map Oncology Subproject: A Comprehensive Data Analysis of Breast, Prostate, and Colorectal Cancer</t>
        </is>
      </c>
      <c r="C97" s="14" t="inlineStr">
        <is>
          <t>Not a US population-based/registry study</t>
        </is>
      </c>
      <c r="D97" s="15" t="inlineStr"/>
      <c r="E97" s="16" t="inlineStr"/>
    </row>
    <row r="98">
      <c r="A98" s="13" t="inlineStr">
        <is>
          <t>4010</t>
        </is>
      </c>
      <c r="B98" s="14" t="inlineStr">
        <is>
          <t>Cancer in Appalachia, 2001-2003</t>
        </is>
      </c>
      <c r="C98" s="14" t="inlineStr">
        <is>
          <t>Not relevant to the research question/topic</t>
        </is>
      </c>
      <c r="D98" s="15" t="inlineStr"/>
      <c r="E98" s="16" t="inlineStr"/>
    </row>
    <row r="99">
      <c r="A99" s="13" t="inlineStr">
        <is>
          <t>671</t>
        </is>
      </c>
      <c r="B99" s="14" t="inlineStr">
        <is>
          <t>Recent trends in hormone therapy utilization and breast cancer incidence rates in the high incidence population of Marin County, California.</t>
        </is>
      </c>
      <c r="C99" s="14" t="inlineStr">
        <is>
          <t>Not relevant to the research question/topic</t>
        </is>
      </c>
      <c r="D99" s="15" t="inlineStr"/>
      <c r="E99" s="16" t="inlineStr"/>
    </row>
    <row r="100">
      <c r="A100" s="13" t="inlineStr">
        <is>
          <t>583</t>
        </is>
      </c>
      <c r="B100" s="14" t="inlineStr">
        <is>
          <t>A prospective study of physical activity and breast cancer incidence in African-American women</t>
        </is>
      </c>
      <c r="C100" s="14" t="inlineStr">
        <is>
          <t>Not relevant to the research question/topic</t>
        </is>
      </c>
      <c r="D100" s="15" t="inlineStr"/>
      <c r="E100" s="16" t="inlineStr"/>
    </row>
    <row r="101">
      <c r="A101" s="13" t="inlineStr">
        <is>
          <t>3015</t>
        </is>
      </c>
      <c r="B101" s="14" t="inlineStr">
        <is>
          <t>18(18)F-FDG PET-detected synchronous primary neoplasms in the staging of esophageal cancer: Incidence, cost, and impact on management</t>
        </is>
      </c>
      <c r="C101" s="14" t="inlineStr">
        <is>
          <t>Not relevant to the research question/topic</t>
        </is>
      </c>
      <c r="D101" s="15" t="inlineStr"/>
      <c r="E101" s="16" t="inlineStr"/>
    </row>
    <row r="102">
      <c r="A102" s="13" t="inlineStr">
        <is>
          <t>3679</t>
        </is>
      </c>
      <c r="B102" s="14" t="inlineStr">
        <is>
          <t>Ethnoracial and social trends in breast cancer staging at diagnosis in Brazil, 2001–14: a case only analysis</t>
        </is>
      </c>
      <c r="C102" s="14" t="inlineStr">
        <is>
          <t>Not a US population-based/registry study</t>
        </is>
      </c>
      <c r="D102" s="15" t="inlineStr"/>
      <c r="E102" s="16" t="inlineStr"/>
    </row>
    <row r="103">
      <c r="A103" s="13" t="inlineStr">
        <is>
          <t>4489</t>
        </is>
      </c>
      <c r="B103" s="14" t="inlineStr">
        <is>
          <t>Hair Straightener Use in Relation to Prevalent and Incident Fibroids in the Sister Study with a Focus on Black Women</t>
        </is>
      </c>
      <c r="C103" s="14" t="inlineStr">
        <is>
          <t>Not relevant to the research question/topic</t>
        </is>
      </c>
      <c r="D103" s="15" t="inlineStr"/>
      <c r="E103" s="16" t="inlineStr"/>
    </row>
    <row r="104">
      <c r="A104" s="13" t="inlineStr">
        <is>
          <t>1255</t>
        </is>
      </c>
      <c r="B104" s="14" t="inlineStr">
        <is>
          <t>Breast cancer mortality trends in Peruvian women</t>
        </is>
      </c>
      <c r="C104" s="14" t="inlineStr">
        <is>
          <t>Not a US population-based/registry study</t>
        </is>
      </c>
      <c r="D104" s="15" t="inlineStr"/>
      <c r="E104" s="16" t="inlineStr"/>
    </row>
    <row r="105">
      <c r="A105" s="13" t="inlineStr">
        <is>
          <t>4570</t>
        </is>
      </c>
      <c r="B105" s="14" t="inlineStr">
        <is>
          <t>Evaluating Women With Ovarian Cancer for BRCA1 and BRCA2 Mutations Missed Opportunities</t>
        </is>
      </c>
      <c r="C105" s="14" t="inlineStr">
        <is>
          <t>Not relevant to the research question/topic</t>
        </is>
      </c>
      <c r="D105" s="15" t="inlineStr"/>
      <c r="E105" s="16" t="inlineStr"/>
    </row>
    <row r="106">
      <c r="A106" s="13" t="inlineStr">
        <is>
          <t>2340</t>
        </is>
      </c>
      <c r="B106" s="14" t="inlineStr">
        <is>
          <t>Mapping mammography in Arkansas: Locating areas with poor spatial access to breast cancer screening using optimization models and geographic information systems</t>
        </is>
      </c>
      <c r="C106" s="14" t="inlineStr">
        <is>
          <t>Not relevant to the research question/topic</t>
        </is>
      </c>
      <c r="D106" s="15" t="inlineStr"/>
      <c r="E106" s="16" t="inlineStr"/>
    </row>
    <row r="107">
      <c r="A107" s="13" t="inlineStr">
        <is>
          <t>2931</t>
        </is>
      </c>
      <c r="B107" s="14" t="inlineStr">
        <is>
          <t>Predictors of contralateral prophylactic mastectomy and the impact on breast reconstruction</t>
        </is>
      </c>
      <c r="C107" s="14" t="inlineStr">
        <is>
          <t>Not relevant to the research question/topic</t>
        </is>
      </c>
      <c r="D107" s="15" t="inlineStr"/>
      <c r="E107" s="16" t="inlineStr"/>
    </row>
    <row r="108">
      <c r="A108" s="13" t="inlineStr">
        <is>
          <t>4650</t>
        </is>
      </c>
      <c r="B108" s="14" t="inlineStr">
        <is>
          <t>Dietary modulation of pregnancy estrogen levels and breast cancer risk among female rat offspring</t>
        </is>
      </c>
      <c r="C108" s="14" t="inlineStr">
        <is>
          <t>Not relevant to the research question/topic</t>
        </is>
      </c>
      <c r="D108" s="15" t="inlineStr"/>
      <c r="E108" s="16" t="inlineStr"/>
    </row>
    <row r="109">
      <c r="A109" s="13" t="inlineStr">
        <is>
          <t>4742</t>
        </is>
      </c>
      <c r="B109" s="14" t="inlineStr">
        <is>
          <t>Update on hormone therapy for the management of postmenopausal women</t>
        </is>
      </c>
      <c r="C109" s="14" t="inlineStr">
        <is>
          <t>Not relevant to the research question/topic</t>
        </is>
      </c>
      <c r="D109" s="15" t="inlineStr"/>
      <c r="E109" s="16" t="inlineStr"/>
    </row>
    <row r="110">
      <c r="A110" s="13" t="inlineStr">
        <is>
          <t>2008</t>
        </is>
      </c>
      <c r="B110" s="14" t="inlineStr">
        <is>
          <t>Association of Neighborhood-Level Household Income With 21-Gene Recurrence Score and Survival Among Patients With Estrogen Receptor–Positive Breast Cancer</t>
        </is>
      </c>
      <c r="C110" s="14" t="inlineStr">
        <is>
          <t>Not relevant to the research question/topic</t>
        </is>
      </c>
      <c r="D110" s="15" t="inlineStr"/>
      <c r="E110" s="16" t="inlineStr"/>
    </row>
    <row r="111">
      <c r="A111" s="13" t="inlineStr">
        <is>
          <t>749</t>
        </is>
      </c>
      <c r="B111" s="14" t="inlineStr">
        <is>
          <t>Negative Lymph Node Count and Lymph Node Ratio Are Associated With Survival in Male Breast Cancer</t>
        </is>
      </c>
      <c r="C111" s="14" t="inlineStr">
        <is>
          <t>Not relevant to the research question/topic</t>
        </is>
      </c>
      <c r="D111" s="15" t="inlineStr"/>
      <c r="E111" s="16" t="inlineStr"/>
    </row>
    <row r="112">
      <c r="A112" s="13" t="inlineStr">
        <is>
          <t>2143</t>
        </is>
      </c>
      <c r="B112" s="14" t="inlineStr">
        <is>
          <t>A Retrospective Study on the Clinicopathologic Characteristics and Outcomes of 179 Cases of Synchronous and Metachronous Bilateral Breast Cancer in China</t>
        </is>
      </c>
      <c r="C112" s="14" t="inlineStr">
        <is>
          <t>Not a US population-based/registry study</t>
        </is>
      </c>
      <c r="D112" s="15" t="inlineStr"/>
      <c r="E112" s="16" t="inlineStr"/>
    </row>
    <row r="113">
      <c r="A113" s="13" t="inlineStr">
        <is>
          <t>2533</t>
        </is>
      </c>
      <c r="B113" s="14" t="inlineStr">
        <is>
          <t>Multi-omics profiling of younger Asian breast cancers reveals distinctive molecular signatures</t>
        </is>
      </c>
      <c r="C113" s="14" t="inlineStr">
        <is>
          <t>Not a US population-based/registry study</t>
        </is>
      </c>
      <c r="D113" s="15" t="inlineStr"/>
      <c r="E113" s="16" t="inlineStr"/>
    </row>
    <row r="114">
      <c r="A114" s="13" t="inlineStr">
        <is>
          <t>941</t>
        </is>
      </c>
      <c r="B114" s="14" t="inlineStr">
        <is>
          <t>Mammography Adherence in African-American Women: Results of a Randomized Controlled Trial</t>
        </is>
      </c>
      <c r="C114" s="14" t="inlineStr">
        <is>
          <t>Not relevant to the research question/topic</t>
        </is>
      </c>
      <c r="D114" s="15" t="inlineStr"/>
      <c r="E114" s="16" t="inlineStr"/>
    </row>
    <row r="115">
      <c r="A115" s="13" t="inlineStr">
        <is>
          <t>3152</t>
        </is>
      </c>
      <c r="B115" s="14" t="inlineStr">
        <is>
          <t>Diabetes and cancer: A consensus report</t>
        </is>
      </c>
      <c r="C115" s="14" t="inlineStr">
        <is>
          <t>Editorials, commentaries, letters, or conference abstracts</t>
        </is>
      </c>
      <c r="D115" s="15" t="inlineStr"/>
      <c r="E115" s="16" t="inlineStr"/>
    </row>
    <row r="116">
      <c r="A116" s="13" t="inlineStr">
        <is>
          <t>1904</t>
        </is>
      </c>
      <c r="B116" s="14" t="inlineStr">
        <is>
          <t>Assessing survival effects of persistent poverty and payer status in non-elderly adults with lung or breast cancer.</t>
        </is>
      </c>
      <c r="C116" s="14" t="inlineStr">
        <is>
          <t>Not relevant to the research question/topic</t>
        </is>
      </c>
      <c r="D116" s="15" t="inlineStr"/>
      <c r="E116" s="16" t="inlineStr"/>
    </row>
    <row r="117">
      <c r="A117" s="13" t="inlineStr">
        <is>
          <t>4496</t>
        </is>
      </c>
      <c r="B117" s="14" t="inlineStr">
        <is>
          <t>Incidence of joint symptoms and bone fractures in Japanese postmenopausal breast cancer patients treated with adjuvant anastrozole</t>
        </is>
      </c>
      <c r="C117" s="14" t="inlineStr">
        <is>
          <t>Not a US population-based/registry study</t>
        </is>
      </c>
      <c r="D117" s="15" t="inlineStr"/>
      <c r="E117" s="16" t="inlineStr"/>
    </row>
    <row r="118">
      <c r="A118" s="13" t="inlineStr">
        <is>
          <t>652</t>
        </is>
      </c>
      <c r="B118" s="14" t="inlineStr">
        <is>
          <t>Comparative epidemiology of breast cancer among men and women in the US, 1996 to 2000</t>
        </is>
      </c>
      <c r="C118" s="14" t="inlineStr">
        <is>
          <t>Not relevant to the research question/topic</t>
        </is>
      </c>
      <c r="D118" s="15" t="inlineStr"/>
      <c r="E118" s="16" t="inlineStr"/>
    </row>
    <row r="119">
      <c r="A119" s="13" t="inlineStr">
        <is>
          <t>4503</t>
        </is>
      </c>
      <c r="B119" s="14" t="inlineStr">
        <is>
          <t>The enduring and evolving relationship between social class and breast cancer burden: A review of the literature</t>
        </is>
      </c>
      <c r="C119" s="14" t="inlineStr">
        <is>
          <t>Not relevant to the research question/topic</t>
        </is>
      </c>
      <c r="D119" s="15" t="inlineStr"/>
      <c r="E119" s="16" t="inlineStr"/>
    </row>
    <row r="120">
      <c r="A120" s="13" t="inlineStr">
        <is>
          <t>3607</t>
        </is>
      </c>
      <c r="B120" s="14" t="inlineStr">
        <is>
          <t>Potentially inappropriate medications defined by STOPP criteria in older patients with breast and colorectal cancer</t>
        </is>
      </c>
      <c r="C120" s="14" t="inlineStr">
        <is>
          <t>Not relevant to the research question/topic</t>
        </is>
      </c>
      <c r="D120" s="15" t="inlineStr"/>
      <c r="E120" s="16" t="inlineStr"/>
    </row>
    <row r="121">
      <c r="A121" s="13" t="inlineStr">
        <is>
          <t>4598</t>
        </is>
      </c>
      <c r="B121" s="14" t="inlineStr">
        <is>
          <t>Emerging trends and treatment strategies in ovarian cancer: A comprehensive review</t>
        </is>
      </c>
      <c r="C121" s="14" t="inlineStr">
        <is>
          <t>Not relevant to the research question/topic</t>
        </is>
      </c>
      <c r="D121" s="15" t="inlineStr"/>
      <c r="E121" s="16" t="inlineStr"/>
    </row>
    <row r="122">
      <c r="A122" s="13" t="inlineStr">
        <is>
          <t>2833</t>
        </is>
      </c>
      <c r="B122" s="14" t="inlineStr">
        <is>
          <t>Urban-rural disparity of breast cancer and socioeconomic risk factors in China</t>
        </is>
      </c>
      <c r="C122" s="14" t="inlineStr">
        <is>
          <t>Not a US population-based/registry study</t>
        </is>
      </c>
      <c r="D122" s="15" t="inlineStr"/>
      <c r="E122" s="16" t="inlineStr"/>
    </row>
    <row r="123">
      <c r="A123" s="13" t="inlineStr">
        <is>
          <t>3194</t>
        </is>
      </c>
      <c r="B123" s="14" t="inlineStr">
        <is>
          <t>The influence of socioeconomic disparities on breast cancer tumor biology and prognosis: A review</t>
        </is>
      </c>
      <c r="C123" s="14" t="inlineStr">
        <is>
          <t>Not relevant to the research question/topic</t>
        </is>
      </c>
      <c r="D123" s="15" t="inlineStr"/>
      <c r="E123" s="16" t="inlineStr"/>
    </row>
    <row r="124">
      <c r="A124" s="13" t="inlineStr">
        <is>
          <t>55</t>
        </is>
      </c>
      <c r="B124" s="14" t="inlineStr">
        <is>
          <t>Second primary cancer risks according to race and ethnicity among U.S. breast cancer survivors</t>
        </is>
      </c>
      <c r="C124" s="14" t="inlineStr">
        <is>
          <t>Not relevant to the research question/topic</t>
        </is>
      </c>
      <c r="D124" s="15" t="inlineStr"/>
      <c r="E124" s="16" t="inlineStr"/>
    </row>
    <row r="125">
      <c r="A125" s="13" t="inlineStr">
        <is>
          <t>4624</t>
        </is>
      </c>
      <c r="B125" s="14" t="inlineStr">
        <is>
          <t>Long-term Survival of Cancer Patients in Korea, 1993-2007: National Cancer Registry Study</t>
        </is>
      </c>
      <c r="C125" s="14" t="inlineStr">
        <is>
          <t>Not a US population-based/registry study</t>
        </is>
      </c>
      <c r="D125" s="15" t="inlineStr"/>
      <c r="E125" s="16" t="inlineStr"/>
    </row>
    <row r="126">
      <c r="A126" s="13" t="inlineStr">
        <is>
          <t>4451</t>
        </is>
      </c>
      <c r="B126" s="14" t="inlineStr">
        <is>
          <t>Association between breast cancer mortality-to-incidence ratios and state health disparities in the United States</t>
        </is>
      </c>
      <c r="C126" s="14" t="inlineStr">
        <is>
          <t>Editorials, commentaries, letters, or conference abstracts</t>
        </is>
      </c>
      <c r="D126" s="15" t="inlineStr"/>
      <c r="E126" s="16" t="inlineStr"/>
    </row>
    <row r="127">
      <c r="A127" s="13" t="inlineStr">
        <is>
          <t>77</t>
        </is>
      </c>
      <c r="B127" s="14" t="inlineStr">
        <is>
          <t>Breast Cancer Incidence Among Asian American Women in New York City: Disparities in Screening and Presentation</t>
        </is>
      </c>
      <c r="C127" s="14" t="inlineStr">
        <is>
          <t>Not a US population-based/registry study</t>
        </is>
      </c>
      <c r="D127" s="15" t="inlineStr"/>
      <c r="E127" s="16" t="inlineStr"/>
    </row>
    <row r="128">
      <c r="A128" s="13" t="inlineStr">
        <is>
          <t>98</t>
        </is>
      </c>
      <c r="B128" s="14" t="inlineStr">
        <is>
          <t>Endogenous Estrogens, Estrogen Metabolites, and Breast Cancer Risk in Postmenopausal Chinese Women</t>
        </is>
      </c>
      <c r="C128" s="14" t="inlineStr">
        <is>
          <t>Not a US population-based/registry study</t>
        </is>
      </c>
      <c r="D128" s="15" t="inlineStr"/>
      <c r="E128" s="16" t="inlineStr"/>
    </row>
    <row r="129">
      <c r="A129" s="13" t="inlineStr">
        <is>
          <t>3180</t>
        </is>
      </c>
      <c r="B129" s="14" t="inlineStr">
        <is>
          <t>Prostate Cancer Symptom Management for Low Literacy Men</t>
        </is>
      </c>
      <c r="C129" s="14" t="inlineStr">
        <is>
          <t>Not relevant to the research question/topic</t>
        </is>
      </c>
      <c r="D129" s="15" t="inlineStr"/>
      <c r="E129" s="16" t="inlineStr"/>
    </row>
    <row r="130">
      <c r="A130" s="13" t="inlineStr">
        <is>
          <t>4613</t>
        </is>
      </c>
      <c r="B130" s="14" t="inlineStr">
        <is>
          <t>Six polymorphisms on estrogen receptor 1 gene in Japanese, American and German populations</t>
        </is>
      </c>
      <c r="C130" s="14" t="inlineStr">
        <is>
          <t>Not relevant to the research question/topic</t>
        </is>
      </c>
      <c r="D130" s="15" t="inlineStr"/>
      <c r="E130" s="16" t="inlineStr"/>
    </row>
    <row r="131">
      <c r="A131" s="13" t="inlineStr">
        <is>
          <t>4323</t>
        </is>
      </c>
      <c r="B131" s="14" t="inlineStr">
        <is>
          <t>Breast cancer disparities and decision-making among US women</t>
        </is>
      </c>
      <c r="C131" s="14" t="inlineStr">
        <is>
          <t>Not relevant to the research question/topic</t>
        </is>
      </c>
      <c r="D131" s="15" t="inlineStr"/>
      <c r="E131" s="16" t="inlineStr"/>
    </row>
    <row r="132">
      <c r="A132" s="13" t="inlineStr">
        <is>
          <t>2669</t>
        </is>
      </c>
      <c r="B132" s="14" t="inlineStr">
        <is>
          <t>Molecular Subtypes of Premenopausal Breast Cancer in Latin American Women (PRECAMA): a Multicenter Population-based Case-control Study</t>
        </is>
      </c>
      <c r="C132" s="14" t="inlineStr">
        <is>
          <t>Not a US population-based/registry study</t>
        </is>
      </c>
      <c r="D132" s="15" t="inlineStr"/>
      <c r="E132" s="16" t="inlineStr"/>
    </row>
    <row r="133">
      <c r="A133" s="13" t="inlineStr">
        <is>
          <t>1324</t>
        </is>
      </c>
      <c r="B133" s="14" t="inlineStr">
        <is>
          <t>Real-World Noninferiority Assessment of Two Filgrastim Biosimilars in Patients Receiving Myelosuppressive Chemotherapy</t>
        </is>
      </c>
      <c r="C133" s="14" t="inlineStr">
        <is>
          <t>Not relevant to the research question/topic</t>
        </is>
      </c>
      <c r="D133" s="15" t="inlineStr"/>
      <c r="E133" s="16" t="inlineStr"/>
    </row>
    <row r="134">
      <c r="A134" s="13" t="inlineStr">
        <is>
          <t>3925</t>
        </is>
      </c>
      <c r="B134" s="14" t="inlineStr">
        <is>
          <t>Meningioma and schwannoma risk in adults in relation to family history of cancer</t>
        </is>
      </c>
      <c r="C134" s="14" t="inlineStr">
        <is>
          <t>Not relevant to the research question/topic</t>
        </is>
      </c>
      <c r="D134" s="15" t="inlineStr"/>
      <c r="E134" s="16" t="inlineStr"/>
    </row>
    <row r="135">
      <c r="A135" s="13" t="inlineStr">
        <is>
          <t>4215</t>
        </is>
      </c>
      <c r="B135" s="14" t="inlineStr">
        <is>
          <t>Large-Scale Profiling of Serum Metabolites in African American and European American Patients With Bladder Cancer Reveals Metabolic Pathways Associated With Patient Survival</t>
        </is>
      </c>
      <c r="C135" s="14" t="inlineStr">
        <is>
          <t>Not relevant to the research question/topic</t>
        </is>
      </c>
      <c r="D135" s="15" t="inlineStr"/>
      <c r="E135" s="16" t="inlineStr"/>
    </row>
    <row r="136">
      <c r="A136" s="13" t="inlineStr">
        <is>
          <t>1393</t>
        </is>
      </c>
      <c r="B136" s="14" t="inlineStr">
        <is>
          <t>A mixed-methods approach for understanding cancer center catchment area needs: An example of rural cancer disparities, needs, and resiliencies</t>
        </is>
      </c>
      <c r="C136" s="14" t="inlineStr">
        <is>
          <t>Not relevant to the research question/topic</t>
        </is>
      </c>
      <c r="D136" s="15" t="inlineStr"/>
      <c r="E136" s="16" t="inlineStr"/>
    </row>
    <row r="137">
      <c r="A137" s="13" t="inlineStr">
        <is>
          <t>2348</t>
        </is>
      </c>
      <c r="B137" s="14" t="inlineStr">
        <is>
          <t>Female reproductive factors and the risk of dementia: a nationwide cohort study</t>
        </is>
      </c>
      <c r="C137" s="14" t="inlineStr">
        <is>
          <t>Not a US population-based/registry study</t>
        </is>
      </c>
      <c r="D137" s="15" t="inlineStr"/>
      <c r="E137" s="16" t="inlineStr"/>
    </row>
    <row r="138">
      <c r="A138" s="13" t="inlineStr">
        <is>
          <t>3579</t>
        </is>
      </c>
      <c r="B138" s="14" t="inlineStr">
        <is>
          <t>Development of a Novel Preoperative Venous Thromboembolism Risk Assessment Model</t>
        </is>
      </c>
      <c r="C138" s="14" t="inlineStr">
        <is>
          <t>Not relevant to the research question/topic</t>
        </is>
      </c>
      <c r="D138" s="15" t="inlineStr"/>
      <c r="E138" s="16" t="inlineStr"/>
    </row>
    <row r="139">
      <c r="A139" s="13" t="inlineStr">
        <is>
          <t>1731</t>
        </is>
      </c>
      <c r="B139" s="14" t="inlineStr">
        <is>
          <t>Advancing inclusive research calculator for oncology disease areas: A resource to support the development of enrollment targets in diversity action plans for industry sponsors</t>
        </is>
      </c>
      <c r="C139" s="14" t="inlineStr">
        <is>
          <t>Not relevant to the research question/topic</t>
        </is>
      </c>
      <c r="D139" s="15" t="inlineStr"/>
      <c r="E139" s="16" t="inlineStr"/>
    </row>
    <row r="140">
      <c r="A140" s="13" t="inlineStr">
        <is>
          <t>2436</t>
        </is>
      </c>
      <c r="B140" s="14" t="inlineStr">
        <is>
          <t>The performance of different artificial intelligence models in predicting breast cancer among individuals having type 2 diabetes mellitus</t>
        </is>
      </c>
      <c r="C140" s="14" t="inlineStr">
        <is>
          <t>Not a US population-based/registry study</t>
        </is>
      </c>
      <c r="D140" s="15" t="inlineStr"/>
      <c r="E140" s="16" t="inlineStr"/>
    </row>
    <row r="141">
      <c r="A141" s="13" t="inlineStr">
        <is>
          <t>3242</t>
        </is>
      </c>
      <c r="B141" s="14" t="inlineStr">
        <is>
          <t>Parity and breastfeeding are protective against breast cancer in Nigerian women</t>
        </is>
      </c>
      <c r="C141" s="14" t="inlineStr">
        <is>
          <t>Not a US population-based/registry study</t>
        </is>
      </c>
      <c r="D141" s="15" t="inlineStr"/>
      <c r="E141" s="16" t="inlineStr"/>
    </row>
    <row r="142">
      <c r="A142" s="13" t="inlineStr">
        <is>
          <t>850</t>
        </is>
      </c>
      <c r="B142" s="14" t="inlineStr">
        <is>
          <t>Social relationships, inflammation markers, and breast cancer incidence in the Women's Health Initiative</t>
        </is>
      </c>
      <c r="C142" s="14" t="inlineStr">
        <is>
          <t>Not relevant to the research question/topic</t>
        </is>
      </c>
      <c r="D142" s="15" t="inlineStr"/>
      <c r="E142" s="16" t="inlineStr"/>
    </row>
    <row r="143">
      <c r="A143" s="13" t="inlineStr">
        <is>
          <t>2916</t>
        </is>
      </c>
      <c r="B143" s="14" t="inlineStr">
        <is>
          <t>Breast cancer screening practices among hong kong chinese women</t>
        </is>
      </c>
      <c r="C143" s="14" t="inlineStr">
        <is>
          <t>Not a US population-based/registry study</t>
        </is>
      </c>
      <c r="D143" s="15" t="inlineStr"/>
      <c r="E143" s="16" t="inlineStr"/>
    </row>
    <row r="144">
      <c r="A144" s="13" t="inlineStr">
        <is>
          <t>1026</t>
        </is>
      </c>
      <c r="B144" s="14" t="inlineStr">
        <is>
          <t>Prevalence of preterm, low birthweight, and small for gestational age delivery after breast cancer diagnosis: A population-based study</t>
        </is>
      </c>
      <c r="C144" s="14" t="inlineStr">
        <is>
          <t>Not relevant to the research question/topic</t>
        </is>
      </c>
      <c r="D144" s="15" t="inlineStr"/>
      <c r="E144" s="16" t="inlineStr"/>
    </row>
    <row r="145">
      <c r="A145" s="13" t="inlineStr">
        <is>
          <t>3210</t>
        </is>
      </c>
      <c r="B145" s="14" t="inlineStr">
        <is>
          <t>Comparison of the Incidence of De Novo Solid Malignancies After Heart Transplantation to That in the General Population</t>
        </is>
      </c>
      <c r="C145" s="14" t="inlineStr">
        <is>
          <t>Not relevant to the research question/topic</t>
        </is>
      </c>
      <c r="D145" s="15" t="inlineStr"/>
      <c r="E145" s="16" t="inlineStr"/>
    </row>
    <row r="146">
      <c r="A146" s="13" t="inlineStr">
        <is>
          <t>981</t>
        </is>
      </c>
      <c r="B146" s="14" t="inlineStr">
        <is>
          <t>Toward Equitable Precision Oncology: Monitoring Racial and Ethnic Inclusion in Genomics and Clinical Trials</t>
        </is>
      </c>
      <c r="C146" s="14" t="inlineStr">
        <is>
          <t>Not relevant to the research question/topic</t>
        </is>
      </c>
      <c r="D146" s="15" t="inlineStr"/>
      <c r="E146" s="16" t="inlineStr"/>
    </row>
    <row r="147">
      <c r="A147" s="13" t="inlineStr">
        <is>
          <t>2375</t>
        </is>
      </c>
      <c r="B147" s="14" t="inlineStr">
        <is>
          <t>Breast cancer incidence and behavior in younger patients: A study from the surveillance, epidemiology and end results database</t>
        </is>
      </c>
      <c r="C147" s="14" t="inlineStr">
        <is>
          <t>Not relevant to the research question/topic</t>
        </is>
      </c>
      <c r="D147" s="15" t="inlineStr"/>
      <c r="E147" s="16" t="inlineStr"/>
    </row>
    <row r="148">
      <c r="A148" s="13" t="inlineStr">
        <is>
          <t>2879</t>
        </is>
      </c>
      <c r="B148" s="14" t="inlineStr">
        <is>
          <t>Response, Resistance and Metastasis of Locally Advanced Breast Cancer (LABC, Stage 2B-3C) in a Multiethnic Cohort: A Phase II International Multicentric Study of Concurrent Paclitaxel and Radiation</t>
        </is>
      </c>
      <c r="C148" s="14" t="inlineStr">
        <is>
          <t>Not relevant to the research question/topic</t>
        </is>
      </c>
      <c r="D148" s="15" t="inlineStr"/>
      <c r="E148" s="16" t="inlineStr"/>
    </row>
    <row r="149">
      <c r="A149" s="13" t="inlineStr">
        <is>
          <t>1348</t>
        </is>
      </c>
      <c r="B149" s="14" t="inlineStr">
        <is>
          <t>Auricular Point Stimulation Plus Dexamethasone Versus Standard Antiemetic Regimen for Nausea and Vomiting Caused by Trastuzumab Deruxtecan in Breast Cancer Palliative Therapy</t>
        </is>
      </c>
      <c r="C149" s="14" t="inlineStr">
        <is>
          <t>Not relevant to the research question/topic</t>
        </is>
      </c>
      <c r="D149" s="15" t="inlineStr"/>
      <c r="E149" s="16" t="inlineStr"/>
    </row>
    <row r="150">
      <c r="A150" s="13" t="inlineStr">
        <is>
          <t>3367</t>
        </is>
      </c>
      <c r="B150" s="14" t="inlineStr">
        <is>
          <t>Doxorubicin Cardiotoxicity in African Americans</t>
        </is>
      </c>
      <c r="C150" s="14" t="inlineStr">
        <is>
          <t>Not relevant to the research question/topic</t>
        </is>
      </c>
      <c r="D150" s="15" t="inlineStr"/>
      <c r="E150" s="16" t="inlineStr"/>
    </row>
    <row r="151">
      <c r="A151" s="13" t="inlineStr">
        <is>
          <t>2814</t>
        </is>
      </c>
      <c r="B151" s="14" t="inlineStr">
        <is>
          <t>The epidermal growth factor receptor (EGFR / HER-1) gatekeeper mutation T790M is present in European patients with early breast cancer</t>
        </is>
      </c>
      <c r="C151" s="14" t="inlineStr">
        <is>
          <t>Not a US population-based/registry study</t>
        </is>
      </c>
      <c r="D151" s="15" t="inlineStr"/>
      <c r="E151" s="16" t="inlineStr"/>
    </row>
    <row r="152">
      <c r="A152" s="13" t="inlineStr">
        <is>
          <t>221</t>
        </is>
      </c>
      <c r="B152" s="14" t="inlineStr">
        <is>
          <t>Breast cancer mortality rates have stopped declining in U.S. Women younger than 40 years</t>
        </is>
      </c>
      <c r="C152" s="14" t="inlineStr">
        <is>
          <t>Not relevant to the research question/topic</t>
        </is>
      </c>
      <c r="D152" s="15" t="inlineStr"/>
      <c r="E152" s="16" t="inlineStr"/>
    </row>
  </sheetData>
  <autoFilter ref="A1:E152"/>
  <dataValidations count="1">
    <dataValidation sqref="D3:D152"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14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8" customWidth="1" min="3" max="3"/>
    <col width="14" customWidth="1" min="4" max="4"/>
    <col width="20" customWidth="1" min="5" max="5"/>
    <col width="22" customWidth="1" min="6" max="6"/>
    <col width="22" customWidth="1" min="7" max="7"/>
    <col width="20" customWidth="1" min="8" max="8"/>
    <col width="26" customWidth="1" min="9" max="9"/>
    <col width="24" customWidth="1" min="10" max="10"/>
    <col width="18" customWidth="1" min="11" max="11"/>
    <col width="20" customWidth="1" min="12" max="12"/>
    <col width="26" customWidth="1" min="13" max="13"/>
  </cols>
  <sheetData>
    <row r="1" ht="34" customHeight="1">
      <c r="A1" s="10" t="inlineStr">
        <is>
          <t>record_id</t>
        </is>
      </c>
      <c r="B1" s="10" t="inlineStr">
        <is>
          <t>Study (author-year)</t>
        </is>
      </c>
      <c r="C1" s="10" t="inlineStr">
        <is>
          <t>Group</t>
        </is>
      </c>
      <c r="D1" s="10" t="inlineStr">
        <is>
          <t>Comparator</t>
        </is>
      </c>
      <c r="E1" s="10" t="inlineStr">
        <is>
          <t>Outcome</t>
        </is>
      </c>
      <c r="F1" s="10" t="inlineStr">
        <is>
          <t>Minority rate [95% CI]</t>
        </is>
      </c>
      <c r="G1" s="10" t="inlineStr">
        <is>
          <t>NHW rate [95% CI]</t>
        </is>
      </c>
      <c r="H1" s="10" t="inlineStr">
        <is>
          <t>IRR [95% CI]</t>
        </is>
      </c>
      <c r="I1" s="10" t="inlineStr">
        <is>
          <t>Provenance</t>
        </is>
      </c>
      <c r="J1" s="10" t="inlineStr">
        <is>
          <t>Source location (table/figure)</t>
        </is>
      </c>
      <c r="K1" s="10" t="inlineStr">
        <is>
          <t>AUTHOR verified vs source? (Yes/No)</t>
        </is>
      </c>
      <c r="L1" s="10" t="inlineStr">
        <is>
          <t>AUTHOR corrected value (if wrong)</t>
        </is>
      </c>
      <c r="M1" s="10" t="inlineStr">
        <is>
          <t>AUTHOR note</t>
        </is>
      </c>
    </row>
    <row r="2">
      <c r="A2" s="11" t="inlineStr">
        <is>
          <t>e.g. 234</t>
        </is>
      </c>
      <c r="B2" s="12" t="inlineStr">
        <is>
          <t>Gomez2026_SEER21</t>
        </is>
      </c>
      <c r="C2" s="11" t="inlineStr">
        <is>
          <t>Chinese</t>
        </is>
      </c>
      <c r="D2" s="11" t="inlineStr">
        <is>
          <t>NHW</t>
        </is>
      </c>
      <c r="E2" s="11" t="inlineStr">
        <is>
          <t>disaggregated-AANHPI</t>
        </is>
      </c>
      <c r="F2" s="11" t="inlineStr">
        <is>
          <t>115.9 [113.5, 118.4]</t>
        </is>
      </c>
      <c r="G2" s="11" t="inlineStr">
        <is>
          <t>152.5 [151.9, 153.1]</t>
        </is>
      </c>
      <c r="H2" s="11" t="inlineStr">
        <is>
          <t>0.760 [0.745, 0.775]</t>
        </is>
      </c>
      <c r="I2" s="12" t="inlineStr">
        <is>
          <t>computed-from-rates-with-CI</t>
        </is>
      </c>
      <c r="J2" s="12" t="inlineStr">
        <is>
          <t>Table 2 / eTable 3</t>
        </is>
      </c>
      <c r="K2" s="11" t="inlineStr">
        <is>
          <t>Yes</t>
        </is>
      </c>
      <c r="L2" s="11" t="inlineStr"/>
      <c r="M2" s="12" t="inlineStr">
        <is>
          <t>(matches source)</t>
        </is>
      </c>
    </row>
    <row r="3">
      <c r="A3" s="13" t="inlineStr">
        <is>
          <t>324</t>
        </is>
      </c>
      <c r="B3" s="14" t="inlineStr">
        <is>
          <t>Gomez2017_CCR</t>
        </is>
      </c>
      <c r="C3" s="13" t="inlineStr">
        <is>
          <t>Japanese (young)</t>
        </is>
      </c>
      <c r="D3" s="13" t="inlineStr">
        <is>
          <t>NHW</t>
        </is>
      </c>
      <c r="E3" s="13" t="inlineStr">
        <is>
          <t>disaggregated-AANHPI</t>
        </is>
      </c>
      <c r="F3" s="13" t="inlineStr"/>
      <c r="G3" s="13" t="inlineStr"/>
      <c r="H3" s="13" t="inlineStr">
        <is>
          <t>1.02 [0.91, 1.14]</t>
        </is>
      </c>
      <c r="I3" s="14" t="inlineStr">
        <is>
          <t>directly-reported-IRR</t>
        </is>
      </c>
      <c r="J3" s="14" t="inlineStr">
        <is>
          <t>Table 2 / text</t>
        </is>
      </c>
      <c r="K3" s="15" t="inlineStr"/>
      <c r="L3" s="15" t="inlineStr"/>
      <c r="M3" s="16" t="inlineStr"/>
    </row>
    <row r="4">
      <c r="A4" s="13" t="inlineStr">
        <is>
          <t>324</t>
        </is>
      </c>
      <c r="B4" s="14" t="inlineStr">
        <is>
          <t>Gomez2017_CCR</t>
        </is>
      </c>
      <c r="C4" s="13" t="inlineStr">
        <is>
          <t>Filipino (young)</t>
        </is>
      </c>
      <c r="D4" s="13" t="inlineStr">
        <is>
          <t>NHW</t>
        </is>
      </c>
      <c r="E4" s="13" t="inlineStr">
        <is>
          <t>disaggregated-AANHPI</t>
        </is>
      </c>
      <c r="F4" s="13" t="inlineStr"/>
      <c r="G4" s="13" t="inlineStr"/>
      <c r="H4" s="13" t="inlineStr">
        <is>
          <t>0.95 [0.90, 1.01]</t>
        </is>
      </c>
      <c r="I4" s="14" t="inlineStr">
        <is>
          <t>directly-reported-IRR</t>
        </is>
      </c>
      <c r="J4" s="14" t="inlineStr">
        <is>
          <t>Table 2 / text</t>
        </is>
      </c>
      <c r="K4" s="15" t="inlineStr"/>
      <c r="L4" s="15" t="inlineStr"/>
      <c r="M4" s="16" t="inlineStr"/>
    </row>
    <row r="5">
      <c r="A5" s="13" t="inlineStr">
        <is>
          <t>324</t>
        </is>
      </c>
      <c r="B5" s="14" t="inlineStr">
        <is>
          <t>Gomez2017_CCR</t>
        </is>
      </c>
      <c r="C5" s="13" t="inlineStr">
        <is>
          <t>Asian-American combined</t>
        </is>
      </c>
      <c r="D5" s="13" t="inlineStr">
        <is>
          <t>NHW</t>
        </is>
      </c>
      <c r="E5" s="13" t="inlineStr">
        <is>
          <t>subtype-TNBC</t>
        </is>
      </c>
      <c r="F5" s="13" t="inlineStr"/>
      <c r="G5" s="13" t="inlineStr"/>
      <c r="H5" s="13" t="inlineStr">
        <is>
          <t>0.61 [0.58, 0.65]</t>
        </is>
      </c>
      <c r="I5" s="14" t="inlineStr">
        <is>
          <t>directly-reported-IRR</t>
        </is>
      </c>
      <c r="J5" s="14" t="inlineStr">
        <is>
          <t>text</t>
        </is>
      </c>
      <c r="K5" s="15" t="inlineStr"/>
      <c r="L5" s="15" t="inlineStr"/>
      <c r="M5" s="16" t="inlineStr"/>
    </row>
    <row r="6">
      <c r="A6" s="13" t="inlineStr">
        <is>
          <t>324</t>
        </is>
      </c>
      <c r="B6" s="14" t="inlineStr">
        <is>
          <t>Gomez2017_CCR</t>
        </is>
      </c>
      <c r="C6" s="13" t="inlineStr">
        <is>
          <t>Asian-American combined</t>
        </is>
      </c>
      <c r="D6" s="13" t="inlineStr">
        <is>
          <t>NHW</t>
        </is>
      </c>
      <c r="E6" s="13" t="inlineStr">
        <is>
          <t>subtype-HRneg-HER2pos</t>
        </is>
      </c>
      <c r="F6" s="13" t="inlineStr"/>
      <c r="G6" s="13" t="inlineStr"/>
      <c r="H6" s="13" t="inlineStr">
        <is>
          <t>1.21 [1.12, 1.30]</t>
        </is>
      </c>
      <c r="I6" s="14" t="inlineStr">
        <is>
          <t>directly-reported-IRR</t>
        </is>
      </c>
      <c r="J6" s="14" t="inlineStr">
        <is>
          <t>text</t>
        </is>
      </c>
      <c r="K6" s="15" t="inlineStr"/>
      <c r="L6" s="15" t="inlineStr"/>
      <c r="M6" s="16" t="inlineStr"/>
    </row>
    <row r="7">
      <c r="A7" s="13" t="inlineStr">
        <is>
          <t>234</t>
        </is>
      </c>
      <c r="B7" s="14" t="inlineStr">
        <is>
          <t>Gomez2026_SEER21</t>
        </is>
      </c>
      <c r="C7" s="13" t="inlineStr">
        <is>
          <t>Asian American (aggregate)</t>
        </is>
      </c>
      <c r="D7" s="13" t="inlineStr">
        <is>
          <t>NHW</t>
        </is>
      </c>
      <c r="E7" s="13" t="inlineStr">
        <is>
          <t>disaggregated-AANHPI</t>
        </is>
      </c>
      <c r="F7" s="13" t="inlineStr">
        <is>
          <t>110.5 [109.5, 111.6]</t>
        </is>
      </c>
      <c r="G7" s="13" t="inlineStr">
        <is>
          <t>139.5 [139.0, 140.0]</t>
        </is>
      </c>
      <c r="H7" s="13" t="inlineStr">
        <is>
          <t>0.792 [0.784, 0.800]</t>
        </is>
      </c>
      <c r="I7" s="14" t="inlineStr">
        <is>
          <t>computed-from-rates-with-CI</t>
        </is>
      </c>
      <c r="J7" s="14" t="inlineStr">
        <is>
          <t>Table (Overall row)</t>
        </is>
      </c>
      <c r="K7" s="15" t="inlineStr"/>
      <c r="L7" s="15" t="inlineStr"/>
      <c r="M7" s="16" t="inlineStr"/>
    </row>
    <row r="8">
      <c r="A8" s="13" t="inlineStr">
        <is>
          <t>234</t>
        </is>
      </c>
      <c r="B8" s="14" t="inlineStr">
        <is>
          <t>Gomez2026_SEER21</t>
        </is>
      </c>
      <c r="C8" s="13" t="inlineStr">
        <is>
          <t>Asian Indian/Pakistani</t>
        </is>
      </c>
      <c r="D8" s="13" t="inlineStr">
        <is>
          <t>NHW</t>
        </is>
      </c>
      <c r="E8" s="13" t="inlineStr">
        <is>
          <t>disaggregated-AANHPI</t>
        </is>
      </c>
      <c r="F8" s="13" t="inlineStr">
        <is>
          <t>133.6 [130.8, 136.5]</t>
        </is>
      </c>
      <c r="G8" s="13" t="inlineStr">
        <is>
          <t>139.5 [139.0, 140.0]</t>
        </is>
      </c>
      <c r="H8" s="13" t="inlineStr">
        <is>
          <t>0.958 [0.937, 0.979]</t>
        </is>
      </c>
      <c r="I8" s="14" t="inlineStr">
        <is>
          <t>computed-from-rates-with-CI</t>
        </is>
      </c>
      <c r="J8" s="14" t="inlineStr">
        <is>
          <t>Table</t>
        </is>
      </c>
      <c r="K8" s="15" t="inlineStr"/>
      <c r="L8" s="15" t="inlineStr"/>
      <c r="M8" s="16" t="inlineStr"/>
    </row>
    <row r="9">
      <c r="A9" s="13" t="inlineStr">
        <is>
          <t>234</t>
        </is>
      </c>
      <c r="B9" s="14" t="inlineStr">
        <is>
          <t>Gomez2026_SEER21</t>
        </is>
      </c>
      <c r="C9" s="13" t="inlineStr">
        <is>
          <t>Chinese</t>
        </is>
      </c>
      <c r="D9" s="13" t="inlineStr">
        <is>
          <t>NHW</t>
        </is>
      </c>
      <c r="E9" s="13" t="inlineStr">
        <is>
          <t>disaggregated-AANHPI</t>
        </is>
      </c>
      <c r="F9" s="13" t="inlineStr">
        <is>
          <t>106.0 [104.0, 108.1]</t>
        </is>
      </c>
      <c r="G9" s="13" t="inlineStr">
        <is>
          <t>139.5 [139.0, 140.0]</t>
        </is>
      </c>
      <c r="H9" s="13" t="inlineStr">
        <is>
          <t>0.760 [0.745, 0.775]</t>
        </is>
      </c>
      <c r="I9" s="14" t="inlineStr">
        <is>
          <t>computed-from-rates-with-CI</t>
        </is>
      </c>
      <c r="J9" s="14" t="inlineStr">
        <is>
          <t>Table</t>
        </is>
      </c>
      <c r="K9" s="15" t="inlineStr"/>
      <c r="L9" s="15" t="inlineStr"/>
      <c r="M9" s="16" t="inlineStr"/>
    </row>
    <row r="10">
      <c r="A10" s="13" t="inlineStr">
        <is>
          <t>234</t>
        </is>
      </c>
      <c r="B10" s="14" t="inlineStr">
        <is>
          <t>Gomez2026_SEER21</t>
        </is>
      </c>
      <c r="C10" s="13" t="inlineStr">
        <is>
          <t>Filipina</t>
        </is>
      </c>
      <c r="D10" s="13" t="inlineStr">
        <is>
          <t>NHW</t>
        </is>
      </c>
      <c r="E10" s="13" t="inlineStr">
        <is>
          <t>disaggregated-AANHPI</t>
        </is>
      </c>
      <c r="F10" s="13" t="inlineStr">
        <is>
          <t>119.5 [117.2, 122.0]</t>
        </is>
      </c>
      <c r="G10" s="13" t="inlineStr">
        <is>
          <t>139.5 [139.0, 140.0]</t>
        </is>
      </c>
      <c r="H10" s="13" t="inlineStr">
        <is>
          <t>0.857 [0.839, 0.874]</t>
        </is>
      </c>
      <c r="I10" s="14" t="inlineStr">
        <is>
          <t>computed-from-rates-with-CI</t>
        </is>
      </c>
      <c r="J10" s="14" t="inlineStr">
        <is>
          <t>Table</t>
        </is>
      </c>
      <c r="K10" s="15" t="inlineStr"/>
      <c r="L10" s="15" t="inlineStr"/>
      <c r="M10" s="16" t="inlineStr"/>
    </row>
    <row r="11">
      <c r="A11" s="13" t="inlineStr">
        <is>
          <t>234</t>
        </is>
      </c>
      <c r="B11" s="14" t="inlineStr">
        <is>
          <t>Gomez2026_SEER21</t>
        </is>
      </c>
      <c r="C11" s="13" t="inlineStr">
        <is>
          <t>Japanese</t>
        </is>
      </c>
      <c r="D11" s="13" t="inlineStr">
        <is>
          <t>NHW</t>
        </is>
      </c>
      <c r="E11" s="13" t="inlineStr">
        <is>
          <t>disaggregated-AANHPI</t>
        </is>
      </c>
      <c r="F11" s="13" t="inlineStr">
        <is>
          <t>145.8 [140.8, 151.0]</t>
        </is>
      </c>
      <c r="G11" s="13" t="inlineStr">
        <is>
          <t>139.5 [139.0, 140.0]</t>
        </is>
      </c>
      <c r="H11" s="13" t="inlineStr">
        <is>
          <t>1.045 [1.009, 1.083]</t>
        </is>
      </c>
      <c r="I11" s="14" t="inlineStr">
        <is>
          <t>computed-from-rates-with-CI</t>
        </is>
      </c>
      <c r="J11" s="14" t="inlineStr">
        <is>
          <t>Table</t>
        </is>
      </c>
      <c r="K11" s="15" t="inlineStr"/>
      <c r="L11" s="15" t="inlineStr"/>
      <c r="M11" s="16" t="inlineStr"/>
    </row>
    <row r="12">
      <c r="A12" s="13" t="inlineStr">
        <is>
          <t>234</t>
        </is>
      </c>
      <c r="B12" s="14" t="inlineStr">
        <is>
          <t>Gomez2026_SEER21</t>
        </is>
      </c>
      <c r="C12" s="13" t="inlineStr">
        <is>
          <t>Korean</t>
        </is>
      </c>
      <c r="D12" s="13" t="inlineStr">
        <is>
          <t>NHW</t>
        </is>
      </c>
      <c r="E12" s="13" t="inlineStr">
        <is>
          <t>disaggregated-AANHPI</t>
        </is>
      </c>
      <c r="F12" s="13" t="inlineStr">
        <is>
          <t>94.5 [91.3, 97.8]</t>
        </is>
      </c>
      <c r="G12" s="13" t="inlineStr">
        <is>
          <t>139.5 [139.0, 140.0]</t>
        </is>
      </c>
      <c r="H12" s="13" t="inlineStr">
        <is>
          <t>0.677 [0.654, 0.701]</t>
        </is>
      </c>
      <c r="I12" s="14" t="inlineStr">
        <is>
          <t>computed-from-rates-with-CI</t>
        </is>
      </c>
      <c r="J12" s="14" t="inlineStr">
        <is>
          <t>Table</t>
        </is>
      </c>
      <c r="K12" s="15" t="inlineStr"/>
      <c r="L12" s="15" t="inlineStr"/>
      <c r="M12" s="16" t="inlineStr"/>
    </row>
    <row r="13">
      <c r="A13" s="13" t="inlineStr">
        <is>
          <t>234</t>
        </is>
      </c>
      <c r="B13" s="14" t="inlineStr">
        <is>
          <t>Gomez2026_SEER21</t>
        </is>
      </c>
      <c r="C13" s="13" t="inlineStr">
        <is>
          <t>Laotian/Kampuchean</t>
        </is>
      </c>
      <c r="D13" s="13" t="inlineStr">
        <is>
          <t>NHW</t>
        </is>
      </c>
      <c r="E13" s="13" t="inlineStr">
        <is>
          <t>disaggregated-AANHPI</t>
        </is>
      </c>
      <c r="F13" s="13" t="inlineStr">
        <is>
          <t>54.1 [48.7, 59.9]</t>
        </is>
      </c>
      <c r="G13" s="13" t="inlineStr">
        <is>
          <t>139.5 [139.0, 140.0]</t>
        </is>
      </c>
      <c r="H13" s="13" t="inlineStr">
        <is>
          <t>0.388 [0.350, 0.430]</t>
        </is>
      </c>
      <c r="I13" s="14" t="inlineStr">
        <is>
          <t>computed-from-rates-with-CI</t>
        </is>
      </c>
      <c r="J13" s="14" t="inlineStr">
        <is>
          <t>Table</t>
        </is>
      </c>
      <c r="K13" s="15" t="inlineStr"/>
      <c r="L13" s="15" t="inlineStr"/>
      <c r="M13" s="16" t="inlineStr"/>
    </row>
    <row r="14">
      <c r="A14" s="13" t="inlineStr">
        <is>
          <t>234</t>
        </is>
      </c>
      <c r="B14" s="14" t="inlineStr">
        <is>
          <t>Gomez2026_SEER21</t>
        </is>
      </c>
      <c r="C14" s="13" t="inlineStr">
        <is>
          <t>Vietnamese</t>
        </is>
      </c>
      <c r="D14" s="13" t="inlineStr">
        <is>
          <t>NHW</t>
        </is>
      </c>
      <c r="E14" s="13" t="inlineStr">
        <is>
          <t>disaggregated-AANHPI</t>
        </is>
      </c>
      <c r="F14" s="13" t="inlineStr">
        <is>
          <t>81.8 [78.9, 84.8]</t>
        </is>
      </c>
      <c r="G14" s="13" t="inlineStr">
        <is>
          <t>139.5 [139.0, 140.0]</t>
        </is>
      </c>
      <c r="H14" s="13" t="inlineStr">
        <is>
          <t>0.586 [0.566, 0.608]</t>
        </is>
      </c>
      <c r="I14" s="14" t="inlineStr">
        <is>
          <t>computed-from-rates-with-CI</t>
        </is>
      </c>
      <c r="J14" s="14" t="inlineStr">
        <is>
          <t>Table</t>
        </is>
      </c>
      <c r="K14" s="15" t="inlineStr"/>
      <c r="L14" s="15" t="inlineStr"/>
      <c r="M14" s="16" t="inlineStr"/>
    </row>
    <row r="15">
      <c r="A15" s="13" t="inlineStr">
        <is>
          <t>234</t>
        </is>
      </c>
      <c r="B15" s="14" t="inlineStr">
        <is>
          <t>Gomez2026_SEER21</t>
        </is>
      </c>
      <c r="C15" s="13" t="inlineStr">
        <is>
          <t>Native Hawaiian/PI (aggregate)</t>
        </is>
      </c>
      <c r="D15" s="13" t="inlineStr">
        <is>
          <t>NHW</t>
        </is>
      </c>
      <c r="E15" s="13" t="inlineStr">
        <is>
          <t>disaggregated-AANHPI</t>
        </is>
      </c>
      <c r="F15" s="13" t="inlineStr">
        <is>
          <t>169.1 [163.0, 175.5]</t>
        </is>
      </c>
      <c r="G15" s="13" t="inlineStr">
        <is>
          <t>139.5 [139.0, 140.0]</t>
        </is>
      </c>
      <c r="H15" s="13" t="inlineStr">
        <is>
          <t>1.212 [1.168, 1.258]</t>
        </is>
      </c>
      <c r="I15" s="14" t="inlineStr">
        <is>
          <t>computed-from-rates-with-CI</t>
        </is>
      </c>
      <c r="J15" s="14" t="inlineStr">
        <is>
          <t>Table</t>
        </is>
      </c>
      <c r="K15" s="15" t="inlineStr"/>
      <c r="L15" s="15" t="inlineStr"/>
      <c r="M15" s="16" t="inlineStr"/>
    </row>
    <row r="16">
      <c r="A16" s="13" t="inlineStr">
        <is>
          <t>234</t>
        </is>
      </c>
      <c r="B16" s="14" t="inlineStr">
        <is>
          <t>Gomez2026_SEER21</t>
        </is>
      </c>
      <c r="C16" s="13" t="inlineStr">
        <is>
          <t>Native Hawaiian</t>
        </is>
      </c>
      <c r="D16" s="13" t="inlineStr">
        <is>
          <t>NHW</t>
        </is>
      </c>
      <c r="E16" s="13" t="inlineStr">
        <is>
          <t>disaggregated-AANHPI</t>
        </is>
      </c>
      <c r="F16" s="13" t="inlineStr">
        <is>
          <t>177.2 [169.2, 185.5]</t>
        </is>
      </c>
      <c r="G16" s="13" t="inlineStr">
        <is>
          <t>139.5 [139.0, 140.0]</t>
        </is>
      </c>
      <c r="H16" s="13" t="inlineStr">
        <is>
          <t>1.270 [1.213, 1.330]</t>
        </is>
      </c>
      <c r="I16" s="14" t="inlineStr">
        <is>
          <t>computed-from-rates-with-CI</t>
        </is>
      </c>
      <c r="J16" s="14" t="inlineStr">
        <is>
          <t>Table</t>
        </is>
      </c>
      <c r="K16" s="15" t="inlineStr"/>
      <c r="L16" s="15" t="inlineStr"/>
      <c r="M16" s="16" t="inlineStr"/>
    </row>
    <row r="17">
      <c r="A17" s="13" t="inlineStr">
        <is>
          <t>234</t>
        </is>
      </c>
      <c r="B17" s="14" t="inlineStr">
        <is>
          <t>Gomez2026_SEER21</t>
        </is>
      </c>
      <c r="C17" s="13" t="inlineStr">
        <is>
          <t>Guamanian/Chamorro/Samoan</t>
        </is>
      </c>
      <c r="D17" s="13" t="inlineStr">
        <is>
          <t>NHW</t>
        </is>
      </c>
      <c r="E17" s="13" t="inlineStr">
        <is>
          <t>disaggregated-AANHPI</t>
        </is>
      </c>
      <c r="F17" s="13" t="inlineStr">
        <is>
          <t>100.9 [89.2, 113.7]</t>
        </is>
      </c>
      <c r="G17" s="13" t="inlineStr">
        <is>
          <t>139.5 [139.0, 140.0]</t>
        </is>
      </c>
      <c r="H17" s="13" t="inlineStr">
        <is>
          <t>0.723 [0.641, 0.817]</t>
        </is>
      </c>
      <c r="I17" s="14" t="inlineStr">
        <is>
          <t>computed-from-rates-with-CI</t>
        </is>
      </c>
      <c r="J17" s="14" t="inlineStr">
        <is>
          <t>Table</t>
        </is>
      </c>
      <c r="K17" s="15" t="inlineStr"/>
      <c r="L17" s="15" t="inlineStr"/>
      <c r="M17" s="16" t="inlineStr"/>
    </row>
    <row r="18">
      <c r="A18" s="13" t="inlineStr">
        <is>
          <t>4098</t>
        </is>
      </c>
      <c r="B18" s="14" t="inlineStr">
        <is>
          <t>McCracken2007_CCR</t>
        </is>
      </c>
      <c r="C18" s="13" t="inlineStr">
        <is>
          <t>Chinese</t>
        </is>
      </c>
      <c r="D18" s="13" t="inlineStr">
        <is>
          <t>NHW</t>
        </is>
      </c>
      <c r="E18" s="13" t="inlineStr">
        <is>
          <t>disaggregated-AANHPI</t>
        </is>
      </c>
      <c r="F18" s="13" t="inlineStr">
        <is>
          <t>75.1</t>
        </is>
      </c>
      <c r="G18" s="13" t="inlineStr">
        <is>
          <t>152.9</t>
        </is>
      </c>
      <c r="H18" s="13" t="inlineStr">
        <is>
          <t>0.491</t>
        </is>
      </c>
      <c r="I18" s="14" t="inlineStr">
        <is>
          <t>computed-from-rates</t>
        </is>
      </c>
      <c r="J18" s="14" t="inlineStr">
        <is>
          <t>Table 3 (female breast incidence)</t>
        </is>
      </c>
      <c r="K18" s="15" t="inlineStr"/>
      <c r="L18" s="15" t="inlineStr"/>
      <c r="M18" s="16" t="inlineStr"/>
    </row>
    <row r="19">
      <c r="A19" s="13" t="inlineStr">
        <is>
          <t>4098</t>
        </is>
      </c>
      <c r="B19" s="14" t="inlineStr">
        <is>
          <t>McCracken2007_CCR</t>
        </is>
      </c>
      <c r="C19" s="13" t="inlineStr">
        <is>
          <t>Filipina</t>
        </is>
      </c>
      <c r="D19" s="13" t="inlineStr">
        <is>
          <t>NHW</t>
        </is>
      </c>
      <c r="E19" s="13" t="inlineStr">
        <is>
          <t>disaggregated-AANHPI</t>
        </is>
      </c>
      <c r="F19" s="13" t="inlineStr">
        <is>
          <t>102.4</t>
        </is>
      </c>
      <c r="G19" s="13" t="inlineStr">
        <is>
          <t>152.9</t>
        </is>
      </c>
      <c r="H19" s="13" t="inlineStr">
        <is>
          <t>0.670</t>
        </is>
      </c>
      <c r="I19" s="14" t="inlineStr">
        <is>
          <t>computed-from-rates</t>
        </is>
      </c>
      <c r="J19" s="14" t="inlineStr">
        <is>
          <t>Table 3 (female breast incidence)</t>
        </is>
      </c>
      <c r="K19" s="15" t="inlineStr"/>
      <c r="L19" s="15" t="inlineStr"/>
      <c r="M19" s="16" t="inlineStr"/>
    </row>
    <row r="20">
      <c r="A20" s="13" t="inlineStr">
        <is>
          <t>4098</t>
        </is>
      </c>
      <c r="B20" s="14" t="inlineStr">
        <is>
          <t>McCracken2007_CCR</t>
        </is>
      </c>
      <c r="C20" s="13" t="inlineStr">
        <is>
          <t>Vietnamese</t>
        </is>
      </c>
      <c r="D20" s="13" t="inlineStr">
        <is>
          <t>NHW</t>
        </is>
      </c>
      <c r="E20" s="13" t="inlineStr">
        <is>
          <t>disaggregated-AANHPI</t>
        </is>
      </c>
      <c r="F20" s="13" t="inlineStr">
        <is>
          <t>55.5</t>
        </is>
      </c>
      <c r="G20" s="13" t="inlineStr">
        <is>
          <t>152.9</t>
        </is>
      </c>
      <c r="H20" s="13" t="inlineStr">
        <is>
          <t>0.363</t>
        </is>
      </c>
      <c r="I20" s="14" t="inlineStr">
        <is>
          <t>computed-from-rates</t>
        </is>
      </c>
      <c r="J20" s="14" t="inlineStr">
        <is>
          <t>Table 3 (female breast incidence)</t>
        </is>
      </c>
      <c r="K20" s="15" t="inlineStr"/>
      <c r="L20" s="15" t="inlineStr"/>
      <c r="M20" s="16" t="inlineStr"/>
    </row>
    <row r="21">
      <c r="A21" s="13" t="inlineStr">
        <is>
          <t>4098</t>
        </is>
      </c>
      <c r="B21" s="14" t="inlineStr">
        <is>
          <t>McCracken2007_CCR</t>
        </is>
      </c>
      <c r="C21" s="13" t="inlineStr">
        <is>
          <t>Korean</t>
        </is>
      </c>
      <c r="D21" s="13" t="inlineStr">
        <is>
          <t>NHW</t>
        </is>
      </c>
      <c r="E21" s="13" t="inlineStr">
        <is>
          <t>disaggregated-AANHPI</t>
        </is>
      </c>
      <c r="F21" s="13" t="inlineStr">
        <is>
          <t>50.7</t>
        </is>
      </c>
      <c r="G21" s="13" t="inlineStr">
        <is>
          <t>152.9</t>
        </is>
      </c>
      <c r="H21" s="13" t="inlineStr">
        <is>
          <t>0.332</t>
        </is>
      </c>
      <c r="I21" s="14" t="inlineStr">
        <is>
          <t>computed-from-rates</t>
        </is>
      </c>
      <c r="J21" s="14" t="inlineStr">
        <is>
          <t>Table 3 (female breast incidence)</t>
        </is>
      </c>
      <c r="K21" s="15" t="inlineStr"/>
      <c r="L21" s="15" t="inlineStr"/>
      <c r="M21" s="16" t="inlineStr"/>
    </row>
    <row r="22">
      <c r="A22" s="13" t="inlineStr">
        <is>
          <t>4098</t>
        </is>
      </c>
      <c r="B22" s="14" t="inlineStr">
        <is>
          <t>McCracken2007_CCR</t>
        </is>
      </c>
      <c r="C22" s="13" t="inlineStr">
        <is>
          <t>Japanese</t>
        </is>
      </c>
      <c r="D22" s="13" t="inlineStr">
        <is>
          <t>NHW</t>
        </is>
      </c>
      <c r="E22" s="13" t="inlineStr">
        <is>
          <t>disaggregated-AANHPI</t>
        </is>
      </c>
      <c r="F22" s="13" t="inlineStr">
        <is>
          <t>102.8</t>
        </is>
      </c>
      <c r="G22" s="13" t="inlineStr">
        <is>
          <t>152.9</t>
        </is>
      </c>
      <c r="H22" s="13" t="inlineStr">
        <is>
          <t>0.672</t>
        </is>
      </c>
      <c r="I22" s="14" t="inlineStr">
        <is>
          <t>computed-from-rates</t>
        </is>
      </c>
      <c r="J22" s="14" t="inlineStr">
        <is>
          <t>Table 3 (female breast incidence)</t>
        </is>
      </c>
      <c r="K22" s="15" t="inlineStr"/>
      <c r="L22" s="15" t="inlineStr"/>
      <c r="M22" s="16" t="inlineStr"/>
    </row>
    <row r="23">
      <c r="A23" s="13" t="inlineStr">
        <is>
          <t>3398</t>
        </is>
      </c>
      <c r="B23" s="14" t="inlineStr">
        <is>
          <t>Gomez2003_SEERplusCCR</t>
        </is>
      </c>
      <c r="C23" s="13" t="inlineStr">
        <is>
          <t>Korean</t>
        </is>
      </c>
      <c r="D23" s="13" t="inlineStr">
        <is>
          <t>NHW</t>
        </is>
      </c>
      <c r="E23" s="13" t="inlineStr">
        <is>
          <t>disaggregated-AANHPI</t>
        </is>
      </c>
      <c r="F23" s="13" t="inlineStr">
        <is>
          <t>25.1 [22.1, 28.4]</t>
        </is>
      </c>
      <c r="G23" s="13" t="inlineStr">
        <is>
          <t>98.7 [98.1, 99.3]</t>
        </is>
      </c>
      <c r="H23" s="13" t="inlineStr">
        <is>
          <t>0.254 [0.224, 0.288]</t>
        </is>
      </c>
      <c r="I23" s="14" t="inlineStr">
        <is>
          <t>computed-from-rates-with-CI</t>
        </is>
      </c>
      <c r="J23" s="14" t="inlineStr">
        <is>
          <t>Table 1 (female breast)</t>
        </is>
      </c>
      <c r="K23" s="15" t="inlineStr"/>
      <c r="L23" s="15" t="inlineStr"/>
      <c r="M23" s="16" t="inlineStr"/>
    </row>
    <row r="24">
      <c r="A24" s="13" t="inlineStr">
        <is>
          <t>4040</t>
        </is>
      </c>
      <c r="B24" s="14" t="inlineStr">
        <is>
          <t>Miller2008_NAACCR-API</t>
        </is>
      </c>
      <c r="C24" s="13" t="inlineStr">
        <is>
          <t>Native Hawaiian</t>
        </is>
      </c>
      <c r="D24" s="13" t="inlineStr">
        <is>
          <t>NHW</t>
        </is>
      </c>
      <c r="E24" s="13" t="inlineStr">
        <is>
          <t>disaggregated-AANHPI</t>
        </is>
      </c>
      <c r="F24" s="13" t="inlineStr">
        <is>
          <t>175.8 [163.0, 189.4]</t>
        </is>
      </c>
      <c r="G24" s="13" t="inlineStr">
        <is>
          <t>145.2 [144.5, 145.8]</t>
        </is>
      </c>
      <c r="H24" s="13" t="inlineStr">
        <is>
          <t>1.211 [1.123, 1.305]</t>
        </is>
      </c>
      <c r="I24" s="14" t="inlineStr">
        <is>
          <t>computed-from-rates-with-CI</t>
        </is>
      </c>
      <c r="J24" s="14" t="inlineStr">
        <is>
          <t>Table (top-5, women)</t>
        </is>
      </c>
      <c r="K24" s="15" t="inlineStr"/>
      <c r="L24" s="15" t="inlineStr"/>
      <c r="M24" s="16" t="inlineStr"/>
    </row>
    <row r="25">
      <c r="A25" s="13" t="inlineStr">
        <is>
          <t>463</t>
        </is>
      </c>
      <c r="B25" s="14" t="inlineStr">
        <is>
          <t>Keegan2007_GBACR</t>
        </is>
      </c>
      <c r="C25" s="13" t="inlineStr">
        <is>
          <t>Japanese</t>
        </is>
      </c>
      <c r="D25" s="13" t="inlineStr">
        <is>
          <t>NHW</t>
        </is>
      </c>
      <c r="E25" s="13" t="inlineStr">
        <is>
          <t>disaggregated-AANHPI</t>
        </is>
      </c>
      <c r="F25" s="13" t="inlineStr">
        <is>
          <t>104.7</t>
        </is>
      </c>
      <c r="G25" s="13" t="inlineStr"/>
      <c r="H25" s="13" t="inlineStr"/>
      <c r="I25" s="14" t="inlineStr">
        <is>
          <t>directly-reported-rate</t>
        </is>
      </c>
      <c r="J25" s="14" t="inlineStr">
        <is>
          <t>Table/text (overall invasive)</t>
        </is>
      </c>
      <c r="K25" s="15" t="inlineStr"/>
      <c r="L25" s="15" t="inlineStr"/>
      <c r="M25" s="16" t="inlineStr"/>
    </row>
    <row r="26">
      <c r="A26" s="13" t="inlineStr">
        <is>
          <t>463</t>
        </is>
      </c>
      <c r="B26" s="14" t="inlineStr">
        <is>
          <t>Keegan2007_GBACR</t>
        </is>
      </c>
      <c r="C26" s="13" t="inlineStr">
        <is>
          <t>Filipina</t>
        </is>
      </c>
      <c r="D26" s="13" t="inlineStr">
        <is>
          <t>NHW</t>
        </is>
      </c>
      <c r="E26" s="13" t="inlineStr">
        <is>
          <t>disaggregated-AANHPI</t>
        </is>
      </c>
      <c r="F26" s="13" t="inlineStr">
        <is>
          <t>88.6</t>
        </is>
      </c>
      <c r="G26" s="13" t="inlineStr"/>
      <c r="H26" s="13" t="inlineStr"/>
      <c r="I26" s="14" t="inlineStr">
        <is>
          <t>directly-reported-rate</t>
        </is>
      </c>
      <c r="J26" s="14" t="inlineStr">
        <is>
          <t>Table/text (overall invasive)</t>
        </is>
      </c>
      <c r="K26" s="15" t="inlineStr"/>
      <c r="L26" s="15" t="inlineStr"/>
      <c r="M26" s="16" t="inlineStr"/>
    </row>
    <row r="27">
      <c r="A27" s="13" t="inlineStr">
        <is>
          <t>463</t>
        </is>
      </c>
      <c r="B27" s="14" t="inlineStr">
        <is>
          <t>Keegan2007_GBACR</t>
        </is>
      </c>
      <c r="C27" s="13" t="inlineStr">
        <is>
          <t>Chinese</t>
        </is>
      </c>
      <c r="D27" s="13" t="inlineStr">
        <is>
          <t>NHW</t>
        </is>
      </c>
      <c r="E27" s="13" t="inlineStr">
        <is>
          <t>disaggregated-AANHPI</t>
        </is>
      </c>
      <c r="F27" s="13" t="inlineStr">
        <is>
          <t>83.6</t>
        </is>
      </c>
      <c r="G27" s="13" t="inlineStr"/>
      <c r="H27" s="13" t="inlineStr"/>
      <c r="I27" s="14" t="inlineStr">
        <is>
          <t>directly-reported-rate</t>
        </is>
      </c>
      <c r="J27" s="14" t="inlineStr">
        <is>
          <t>Table/text (overall invasive)</t>
        </is>
      </c>
      <c r="K27" s="15" t="inlineStr"/>
      <c r="L27" s="15" t="inlineStr"/>
      <c r="M27" s="16" t="inlineStr"/>
    </row>
    <row r="28">
      <c r="A28" s="13" t="inlineStr">
        <is>
          <t>463</t>
        </is>
      </c>
      <c r="B28" s="14" t="inlineStr">
        <is>
          <t>Keegan2007_GBACR</t>
        </is>
      </c>
      <c r="C28" s="13" t="inlineStr">
        <is>
          <t>South Asian</t>
        </is>
      </c>
      <c r="D28" s="13" t="inlineStr">
        <is>
          <t>NHW</t>
        </is>
      </c>
      <c r="E28" s="13" t="inlineStr">
        <is>
          <t>disaggregated-AANHPI</t>
        </is>
      </c>
      <c r="F28" s="13" t="inlineStr">
        <is>
          <t>78.5</t>
        </is>
      </c>
      <c r="G28" s="13" t="inlineStr"/>
      <c r="H28" s="13" t="inlineStr"/>
      <c r="I28" s="14" t="inlineStr">
        <is>
          <t>directly-reported-rate</t>
        </is>
      </c>
      <c r="J28" s="14" t="inlineStr">
        <is>
          <t>Table/text (overall invasive)</t>
        </is>
      </c>
      <c r="K28" s="15" t="inlineStr"/>
      <c r="L28" s="15" t="inlineStr"/>
      <c r="M28" s="16" t="inlineStr"/>
    </row>
    <row r="29">
      <c r="A29" s="13" t="inlineStr">
        <is>
          <t>463</t>
        </is>
      </c>
      <c r="B29" s="14" t="inlineStr">
        <is>
          <t>Keegan2007_GBACR</t>
        </is>
      </c>
      <c r="C29" s="13" t="inlineStr">
        <is>
          <t>Vietnamese</t>
        </is>
      </c>
      <c r="D29" s="13" t="inlineStr">
        <is>
          <t>NHW</t>
        </is>
      </c>
      <c r="E29" s="13" t="inlineStr">
        <is>
          <t>disaggregated-AANHPI</t>
        </is>
      </c>
      <c r="F29" s="13" t="inlineStr">
        <is>
          <t>57.0</t>
        </is>
      </c>
      <c r="G29" s="13" t="inlineStr"/>
      <c r="H29" s="13" t="inlineStr"/>
      <c r="I29" s="14" t="inlineStr">
        <is>
          <t>directly-reported-rate</t>
        </is>
      </c>
      <c r="J29" s="14" t="inlineStr">
        <is>
          <t>Table/text (overall invasive)</t>
        </is>
      </c>
      <c r="K29" s="15" t="inlineStr"/>
      <c r="L29" s="15" t="inlineStr"/>
      <c r="M29" s="16" t="inlineStr"/>
    </row>
    <row r="30">
      <c r="A30" s="13" t="inlineStr">
        <is>
          <t>463</t>
        </is>
      </c>
      <c r="B30" s="14" t="inlineStr">
        <is>
          <t>Keegan2007_GBACR</t>
        </is>
      </c>
      <c r="C30" s="13" t="inlineStr">
        <is>
          <t>Korean</t>
        </is>
      </c>
      <c r="D30" s="13" t="inlineStr">
        <is>
          <t>NHW</t>
        </is>
      </c>
      <c r="E30" s="13" t="inlineStr">
        <is>
          <t>disaggregated-AANHPI</t>
        </is>
      </c>
      <c r="F30" s="13" t="inlineStr">
        <is>
          <t>44.5</t>
        </is>
      </c>
      <c r="G30" s="13" t="inlineStr"/>
      <c r="H30" s="13" t="inlineStr"/>
      <c r="I30" s="14" t="inlineStr">
        <is>
          <t>directly-reported-rate</t>
        </is>
      </c>
      <c r="J30" s="14" t="inlineStr">
        <is>
          <t>Table/text (overall invasive)</t>
        </is>
      </c>
      <c r="K30" s="15" t="inlineStr"/>
      <c r="L30" s="15" t="inlineStr"/>
      <c r="M30" s="16" t="inlineStr"/>
    </row>
    <row r="31">
      <c r="A31" s="13" t="inlineStr">
        <is>
          <t>500</t>
        </is>
      </c>
      <c r="B31" s="14" t="inlineStr">
        <is>
          <t>Gopalani2020_31764279</t>
        </is>
      </c>
      <c r="C31" s="13" t="inlineStr">
        <is>
          <t>AIAN</t>
        </is>
      </c>
      <c r="D31" s="13" t="inlineStr">
        <is>
          <t>NHW</t>
        </is>
      </c>
      <c r="E31" s="13" t="inlineStr">
        <is>
          <t>aggregate-vs-NHW</t>
        </is>
      </c>
      <c r="F31" s="13" t="inlineStr">
        <is>
          <t>72.7</t>
        </is>
      </c>
      <c r="G31" s="13" t="inlineStr">
        <is>
          <t>130.4</t>
        </is>
      </c>
      <c r="H31" s="13" t="inlineStr">
        <is>
          <t>0.560 [0.550, 0.570]</t>
        </is>
      </c>
      <c r="I31" s="14" t="inlineStr">
        <is>
          <t>computed-from-rates</t>
        </is>
      </c>
      <c r="J31" s="14" t="inlineStr">
        <is>
          <t>IHS-linked, misclassification-corrected</t>
        </is>
      </c>
      <c r="K31" s="15" t="inlineStr"/>
      <c r="L31" s="15" t="inlineStr"/>
      <c r="M31" s="16" t="inlineStr"/>
    </row>
    <row r="32">
      <c r="A32" s="13" t="inlineStr">
        <is>
          <t>182</t>
        </is>
      </c>
      <c r="B32" s="14" t="inlineStr">
        <is>
          <t>Cronin2012_VitalSigns_23151952</t>
        </is>
      </c>
      <c r="C32" s="13" t="inlineStr">
        <is>
          <t>Black</t>
        </is>
      </c>
      <c r="D32" s="13" t="inlineStr">
        <is>
          <t>White(not NH-strat)</t>
        </is>
      </c>
      <c r="E32" s="13" t="inlineStr">
        <is>
          <t>aggregate-vs-NHW</t>
        </is>
      </c>
      <c r="F32" s="13" t="inlineStr">
        <is>
          <t>116.9</t>
        </is>
      </c>
      <c r="G32" s="13" t="inlineStr">
        <is>
          <t>122.1</t>
        </is>
      </c>
      <c r="H32" s="13" t="inlineStr">
        <is>
          <t>0.957 [0.944, 0.971]</t>
        </is>
      </c>
      <c r="I32" s="14" t="inlineStr">
        <is>
          <t>computed-from-rates-Poisson-SE</t>
        </is>
      </c>
      <c r="J32" s="14" t="inlineStr">
        <is>
          <t>Vital Signs text (annual)</t>
        </is>
      </c>
      <c r="K32" s="15" t="inlineStr"/>
      <c r="L32" s="15" t="inlineStr"/>
      <c r="M32" s="16" t="inlineStr"/>
    </row>
    <row r="33">
      <c r="A33" s="13" t="inlineStr">
        <is>
          <t>346</t>
        </is>
      </c>
      <c r="B33" s="14" t="inlineStr">
        <is>
          <t>Richardson2016_27736827</t>
        </is>
      </c>
      <c r="C33" s="13" t="inlineStr">
        <is>
          <t>Black</t>
        </is>
      </c>
      <c r="D33" s="13" t="inlineStr">
        <is>
          <t>White(not NH-strat)</t>
        </is>
      </c>
      <c r="E33" s="13" t="inlineStr">
        <is>
          <t>aggregate-vs-NHW</t>
        </is>
      </c>
      <c r="F33" s="13" t="inlineStr">
        <is>
          <t>121.5</t>
        </is>
      </c>
      <c r="G33" s="13" t="inlineStr">
        <is>
          <t>123.6</t>
        </is>
      </c>
      <c r="H33" s="13" t="inlineStr">
        <is>
          <t>0.983 [0.977, 0.989]</t>
        </is>
      </c>
      <c r="I33" s="14" t="inlineStr">
        <is>
          <t>computed-from-rates-with-CI</t>
        </is>
      </c>
      <c r="J33" s="14" t="inlineStr">
        <is>
          <t>MMWR text</t>
        </is>
      </c>
      <c r="K33" s="15" t="inlineStr"/>
      <c r="L33" s="15" t="inlineStr"/>
      <c r="M33" s="16" t="inlineStr"/>
    </row>
    <row r="34">
      <c r="A34" s="13" t="inlineStr">
        <is>
          <t>265</t>
        </is>
      </c>
      <c r="B34" s="14" t="inlineStr">
        <is>
          <t>Anderson2008_SEER_19066264</t>
        </is>
      </c>
      <c r="C34" s="13" t="inlineStr">
        <is>
          <t>Black</t>
        </is>
      </c>
      <c r="D34" s="13" t="inlineStr">
        <is>
          <t>White</t>
        </is>
      </c>
      <c r="E34" s="13" t="inlineStr">
        <is>
          <t>age-lt40</t>
        </is>
      </c>
      <c r="F34" s="13" t="inlineStr">
        <is>
          <t>15.5</t>
        </is>
      </c>
      <c r="G34" s="13" t="inlineStr">
        <is>
          <t>13.1</t>
        </is>
      </c>
      <c r="H34" s="13" t="inlineStr">
        <is>
          <t>1.183 [1.142, 1.226]</t>
        </is>
      </c>
      <c r="I34" s="14" t="inlineStr">
        <is>
          <t>computed-from-rates-with-CI</t>
        </is>
      </c>
      <c r="J34" s="14" t="inlineStr">
        <is>
          <t>JNCI text (crossover)</t>
        </is>
      </c>
      <c r="K34" s="15" t="inlineStr"/>
      <c r="L34" s="15" t="inlineStr"/>
      <c r="M34" s="16" t="inlineStr"/>
    </row>
    <row r="35">
      <c r="A35" s="13" t="inlineStr">
        <is>
          <t>265</t>
        </is>
      </c>
      <c r="B35" s="14" t="inlineStr">
        <is>
          <t>Anderson2008_SEER_19066264</t>
        </is>
      </c>
      <c r="C35" s="13" t="inlineStr">
        <is>
          <t>Black</t>
        </is>
      </c>
      <c r="D35" s="13" t="inlineStr">
        <is>
          <t>White</t>
        </is>
      </c>
      <c r="E35" s="13" t="inlineStr">
        <is>
          <t>age-ge40</t>
        </is>
      </c>
      <c r="F35" s="13" t="inlineStr">
        <is>
          <t>239.5</t>
        </is>
      </c>
      <c r="G35" s="13" t="inlineStr">
        <is>
          <t>281.3</t>
        </is>
      </c>
      <c r="H35" s="13" t="inlineStr">
        <is>
          <t>0.851 [0.841, 0.862]</t>
        </is>
      </c>
      <c r="I35" s="14" t="inlineStr">
        <is>
          <t>computed-from-rates-with-CI</t>
        </is>
      </c>
      <c r="J35" s="14" t="inlineStr">
        <is>
          <t>JNCI text (crossover)</t>
        </is>
      </c>
      <c r="K35" s="15" t="inlineStr"/>
      <c r="L35" s="15" t="inlineStr"/>
      <c r="M35" s="16" t="inlineStr"/>
    </row>
    <row r="36">
      <c r="A36" s="13" t="inlineStr">
        <is>
          <t>3662</t>
        </is>
      </c>
      <c r="B36" s="14" t="inlineStr">
        <is>
          <t>Melkonian2021_IHS-PRCDA</t>
        </is>
      </c>
      <c r="C36" s="13" t="inlineStr">
        <is>
          <t>AIAN (Southern Plains)</t>
        </is>
      </c>
      <c r="D36" s="13" t="inlineStr">
        <is>
          <t>NHW</t>
        </is>
      </c>
      <c r="E36" s="13" t="inlineStr">
        <is>
          <t>AIAN</t>
        </is>
      </c>
      <c r="F36" s="13" t="inlineStr">
        <is>
          <t>151.0</t>
        </is>
      </c>
      <c r="G36" s="13" t="inlineStr">
        <is>
          <t>121.0</t>
        </is>
      </c>
      <c r="H36" s="13" t="inlineStr">
        <is>
          <t>1.25 [1.11, 1.41]</t>
        </is>
      </c>
      <c r="I36" s="14" t="inlineStr">
        <is>
          <t>directly-reported-IRR</t>
        </is>
      </c>
      <c r="J36" s="14" t="inlineStr">
        <is>
          <t>AJE Table (regional)</t>
        </is>
      </c>
      <c r="K36" s="15" t="inlineStr"/>
      <c r="L36" s="15" t="inlineStr"/>
      <c r="M36" s="16" t="inlineStr"/>
    </row>
    <row r="37">
      <c r="A37" s="13" t="inlineStr">
        <is>
          <t>3662</t>
        </is>
      </c>
      <c r="B37" s="14" t="inlineStr">
        <is>
          <t>Melkonian2021_IHS-PRCDA</t>
        </is>
      </c>
      <c r="C37" s="13" t="inlineStr">
        <is>
          <t>AIAN (Northern Plains)</t>
        </is>
      </c>
      <c r="D37" s="13" t="inlineStr">
        <is>
          <t>NHW</t>
        </is>
      </c>
      <c r="E37" s="13" t="inlineStr">
        <is>
          <t>AIAN</t>
        </is>
      </c>
      <c r="F37" s="13" t="inlineStr">
        <is>
          <t>158.7</t>
        </is>
      </c>
      <c r="G37" s="13" t="inlineStr">
        <is>
          <t>119.0</t>
        </is>
      </c>
      <c r="H37" s="13" t="inlineStr">
        <is>
          <t>1.33 [1.26, 1.41]</t>
        </is>
      </c>
      <c r="I37" s="14" t="inlineStr">
        <is>
          <t>directly-reported-IRR</t>
        </is>
      </c>
      <c r="J37" s="14" t="inlineStr">
        <is>
          <t>AJE Table (regional)</t>
        </is>
      </c>
      <c r="K37" s="15" t="inlineStr"/>
      <c r="L37" s="15" t="inlineStr"/>
      <c r="M37" s="16" t="inlineStr"/>
    </row>
    <row r="38">
      <c r="A38" s="13" t="inlineStr">
        <is>
          <t>3298</t>
        </is>
      </c>
      <c r="B38" s="14" t="inlineStr">
        <is>
          <t>Carozza2006_multistate</t>
        </is>
      </c>
      <c r="C38" s="13" t="inlineStr">
        <is>
          <t>Hispanic/Latina (aggregate)</t>
        </is>
      </c>
      <c r="D38" s="13" t="inlineStr">
        <is>
          <t>NHW</t>
        </is>
      </c>
      <c r="E38" s="13" t="inlineStr">
        <is>
          <t>Hispanic-origin</t>
        </is>
      </c>
      <c r="F38" s="13" t="inlineStr">
        <is>
          <t>89.2</t>
        </is>
      </c>
      <c r="G38" s="13" t="inlineStr"/>
      <c r="H38" s="13" t="inlineStr">
        <is>
          <t>0.64</t>
        </is>
      </c>
      <c r="I38" s="14" t="inlineStr">
        <is>
          <t>directly-reported-SIR</t>
        </is>
      </c>
      <c r="J38" s="14" t="inlineStr">
        <is>
          <t>text (SIR vs NHW)</t>
        </is>
      </c>
      <c r="K38" s="15" t="inlineStr"/>
      <c r="L38" s="15" t="inlineStr"/>
      <c r="M38" s="16" t="inlineStr"/>
    </row>
    <row r="39">
      <c r="A39" s="13" t="inlineStr">
        <is>
          <t>3182</t>
        </is>
      </c>
      <c r="B39" s="14" t="inlineStr">
        <is>
          <t>Pinheiro2009_FL</t>
        </is>
      </c>
      <c r="C39" s="13" t="inlineStr">
        <is>
          <t>Cuban</t>
        </is>
      </c>
      <c r="D39" s="13" t="inlineStr">
        <is>
          <t>NHW</t>
        </is>
      </c>
      <c r="E39" s="13" t="inlineStr">
        <is>
          <t>Hispanic-origin</t>
        </is>
      </c>
      <c r="F39" s="13" t="inlineStr">
        <is>
          <t>108.0 [96.7, 120.3]</t>
        </is>
      </c>
      <c r="G39" s="13" t="inlineStr">
        <is>
          <t>140.4 [137.6, 143.2]</t>
        </is>
      </c>
      <c r="H39" s="13" t="inlineStr">
        <is>
          <t>0.769 [0.688, 0.860]</t>
        </is>
      </c>
      <c r="I39" s="14" t="inlineStr">
        <is>
          <t>computed-from-rates-with-CI</t>
        </is>
      </c>
      <c r="J39" s="14" t="inlineStr">
        <is>
          <t>Table 4 (origin female-breast rates); Table 2 (NHW-FL reference)</t>
        </is>
      </c>
      <c r="K39" s="15" t="inlineStr"/>
      <c r="L39" s="15" t="inlineStr"/>
      <c r="M39" s="16" t="inlineStr"/>
    </row>
    <row r="40">
      <c r="A40" s="13" t="inlineStr">
        <is>
          <t>3182</t>
        </is>
      </c>
      <c r="B40" s="14" t="inlineStr">
        <is>
          <t>Pinheiro2009_FL</t>
        </is>
      </c>
      <c r="C40" s="13" t="inlineStr">
        <is>
          <t>Mexican</t>
        </is>
      </c>
      <c r="D40" s="13" t="inlineStr">
        <is>
          <t>NHW</t>
        </is>
      </c>
      <c r="E40" s="13" t="inlineStr">
        <is>
          <t>Hispanic-origin</t>
        </is>
      </c>
      <c r="F40" s="13" t="inlineStr">
        <is>
          <t>71.9 [53.1, 95.2]</t>
        </is>
      </c>
      <c r="G40" s="13" t="inlineStr">
        <is>
          <t>140.4 [137.6, 143.2]</t>
        </is>
      </c>
      <c r="H40" s="13" t="inlineStr">
        <is>
          <t>0.512 [0.382, 0.686]</t>
        </is>
      </c>
      <c r="I40" s="14" t="inlineStr">
        <is>
          <t>computed-from-rates-with-CI</t>
        </is>
      </c>
      <c r="J40" s="14" t="inlineStr">
        <is>
          <t>Table 4 (origin female-breast rates); Table 2 (NHW-FL reference)</t>
        </is>
      </c>
      <c r="K40" s="15" t="inlineStr"/>
      <c r="L40" s="15" t="inlineStr"/>
      <c r="M40" s="16" t="inlineStr"/>
    </row>
    <row r="41">
      <c r="A41" s="13" t="inlineStr">
        <is>
          <t>3182</t>
        </is>
      </c>
      <c r="B41" s="14" t="inlineStr">
        <is>
          <t>Pinheiro2009_FL</t>
        </is>
      </c>
      <c r="C41" s="13" t="inlineStr">
        <is>
          <t>Puerto Rican</t>
        </is>
      </c>
      <c r="D41" s="13" t="inlineStr">
        <is>
          <t>NHW</t>
        </is>
      </c>
      <c r="E41" s="13" t="inlineStr">
        <is>
          <t>Hispanic-origin</t>
        </is>
      </c>
      <c r="F41" s="13" t="inlineStr">
        <is>
          <t>116.9 [103.7, 131.4]</t>
        </is>
      </c>
      <c r="G41" s="13" t="inlineStr">
        <is>
          <t>140.4 [137.6, 143.2]</t>
        </is>
      </c>
      <c r="H41" s="13" t="inlineStr">
        <is>
          <t>0.833 [0.738, 0.939]</t>
        </is>
      </c>
      <c r="I41" s="14" t="inlineStr">
        <is>
          <t>computed-from-rates-with-CI</t>
        </is>
      </c>
      <c r="J41" s="14" t="inlineStr">
        <is>
          <t>Table 4 (origin female-breast rates); Table 2 (NHW-FL reference)</t>
        </is>
      </c>
      <c r="K41" s="15" t="inlineStr"/>
      <c r="L41" s="15" t="inlineStr"/>
      <c r="M41" s="16" t="inlineStr"/>
    </row>
    <row r="42">
      <c r="A42" s="13" t="inlineStr">
        <is>
          <t>3182</t>
        </is>
      </c>
      <c r="B42" s="14" t="inlineStr">
        <is>
          <t>Pinheiro2009_FL</t>
        </is>
      </c>
      <c r="C42" s="13" t="inlineStr">
        <is>
          <t>New Latino</t>
        </is>
      </c>
      <c r="D42" s="13" t="inlineStr">
        <is>
          <t>NHW</t>
        </is>
      </c>
      <c r="E42" s="13" t="inlineStr">
        <is>
          <t>Hispanic-origin</t>
        </is>
      </c>
      <c r="F42" s="13" t="inlineStr">
        <is>
          <t>97.8 [88.4, 107.9]</t>
        </is>
      </c>
      <c r="G42" s="13" t="inlineStr">
        <is>
          <t>140.4 [137.6, 143.2]</t>
        </is>
      </c>
      <c r="H42" s="13" t="inlineStr">
        <is>
          <t>0.697 [0.629, 0.771]</t>
        </is>
      </c>
      <c r="I42" s="14" t="inlineStr">
        <is>
          <t>computed-from-rates-with-CI</t>
        </is>
      </c>
      <c r="J42" s="14" t="inlineStr">
        <is>
          <t>Table 4 (origin female-breast rates); Table 2 (NHW-FL reference)</t>
        </is>
      </c>
      <c r="K42" s="15" t="inlineStr"/>
      <c r="L42" s="15" t="inlineStr"/>
      <c r="M42" s="16" t="inlineStr"/>
    </row>
    <row r="43">
      <c r="A43" s="13" t="inlineStr">
        <is>
          <t>2406</t>
        </is>
      </c>
      <c r="B43" s="14" t="inlineStr">
        <is>
          <t>Sung2020_USCS50</t>
        </is>
      </c>
      <c r="C43" s="13" t="inlineStr">
        <is>
          <t>Black (men)</t>
        </is>
      </c>
      <c r="D43" s="13" t="inlineStr">
        <is>
          <t>White (men)</t>
        </is>
      </c>
      <c r="E43" s="13" t="inlineStr">
        <is>
          <t>male-BC</t>
        </is>
      </c>
      <c r="F43" s="13" t="inlineStr">
        <is>
          <t>2.75</t>
        </is>
      </c>
      <c r="G43" s="13" t="inlineStr">
        <is>
          <t>1.81</t>
        </is>
      </c>
      <c r="H43" s="13" t="inlineStr">
        <is>
          <t>1.52 [1.44, 1.6]</t>
        </is>
      </c>
      <c r="I43" s="14" t="inlineStr">
        <is>
          <t>directly-reported-IRR</t>
        </is>
      </c>
      <c r="J43" s="14" t="inlineStr">
        <is>
          <t>Table 1 (overall male)</t>
        </is>
      </c>
      <c r="K43" s="15" t="inlineStr"/>
      <c r="L43" s="15" t="inlineStr"/>
      <c r="M43" s="16" t="inlineStr"/>
    </row>
    <row r="44">
      <c r="A44" s="13" t="inlineStr">
        <is>
          <t>2406</t>
        </is>
      </c>
      <c r="B44" s="14" t="inlineStr">
        <is>
          <t>Sung2020_USCS50</t>
        </is>
      </c>
      <c r="C44" s="13" t="inlineStr">
        <is>
          <t>Black (men)</t>
        </is>
      </c>
      <c r="D44" s="13" t="inlineStr">
        <is>
          <t>White (men)</t>
        </is>
      </c>
      <c r="E44" s="13" t="inlineStr">
        <is>
          <t>male-BC-HRpos-HER2neg</t>
        </is>
      </c>
      <c r="F44" s="13" t="inlineStr"/>
      <c r="G44" s="13" t="inlineStr"/>
      <c r="H44" s="13" t="inlineStr">
        <is>
          <t>1.41 [1.32, 1.5]</t>
        </is>
      </c>
      <c r="I44" s="14" t="inlineStr">
        <is>
          <t>directly-reported-IRR</t>
        </is>
      </c>
      <c r="J44" s="14" t="inlineStr">
        <is>
          <t>Table 1</t>
        </is>
      </c>
      <c r="K44" s="15" t="inlineStr"/>
      <c r="L44" s="15" t="inlineStr"/>
      <c r="M44" s="16" t="inlineStr"/>
    </row>
    <row r="45">
      <c r="A45" s="13" t="inlineStr">
        <is>
          <t>2406</t>
        </is>
      </c>
      <c r="B45" s="14" t="inlineStr">
        <is>
          <t>Sung2020_USCS50</t>
        </is>
      </c>
      <c r="C45" s="13" t="inlineStr">
        <is>
          <t>Black (men)</t>
        </is>
      </c>
      <c r="D45" s="13" t="inlineStr">
        <is>
          <t>White (men)</t>
        </is>
      </c>
      <c r="E45" s="13" t="inlineStr">
        <is>
          <t>male-BC-HRpos-HER2pos</t>
        </is>
      </c>
      <c r="F45" s="13" t="inlineStr"/>
      <c r="G45" s="13" t="inlineStr"/>
      <c r="H45" s="13" t="inlineStr">
        <is>
          <t>1.65 [1.4, 1.93]</t>
        </is>
      </c>
      <c r="I45" s="14" t="inlineStr">
        <is>
          <t>directly-reported-IRR</t>
        </is>
      </c>
      <c r="J45" s="14" t="inlineStr">
        <is>
          <t>Table 1</t>
        </is>
      </c>
      <c r="K45" s="15" t="inlineStr"/>
      <c r="L45" s="15" t="inlineStr"/>
      <c r="M45" s="16" t="inlineStr"/>
    </row>
    <row r="46">
      <c r="A46" s="13" t="inlineStr">
        <is>
          <t>2406</t>
        </is>
      </c>
      <c r="B46" s="14" t="inlineStr">
        <is>
          <t>Sung2020_USCS50</t>
        </is>
      </c>
      <c r="C46" s="13" t="inlineStr">
        <is>
          <t>Black (men)</t>
        </is>
      </c>
      <c r="D46" s="13" t="inlineStr">
        <is>
          <t>White (men)</t>
        </is>
      </c>
      <c r="E46" s="13" t="inlineStr">
        <is>
          <t>male-BC-TNBC</t>
        </is>
      </c>
      <c r="F46" s="13" t="inlineStr"/>
      <c r="G46" s="13" t="inlineStr"/>
      <c r="H46" s="13" t="inlineStr">
        <is>
          <t>2.27 [1.67, 3.03]</t>
        </is>
      </c>
      <c r="I46" s="14" t="inlineStr">
        <is>
          <t>directly-reported-IRR</t>
        </is>
      </c>
      <c r="J46" s="14" t="inlineStr">
        <is>
          <t>Table 1</t>
        </is>
      </c>
      <c r="K46" s="15" t="inlineStr"/>
      <c r="L46" s="15" t="inlineStr"/>
      <c r="M46" s="16" t="inlineStr"/>
    </row>
    <row r="47">
      <c r="A47" s="13" t="inlineStr">
        <is>
          <t>2406</t>
        </is>
      </c>
      <c r="B47" s="14" t="inlineStr">
        <is>
          <t>Sung2020_USCS50</t>
        </is>
      </c>
      <c r="C47" s="13" t="inlineStr">
        <is>
          <t>Black (men)</t>
        </is>
      </c>
      <c r="D47" s="13" t="inlineStr">
        <is>
          <t>White (men)</t>
        </is>
      </c>
      <c r="E47" s="13" t="inlineStr">
        <is>
          <t>male-BC-HRneg-HER2pos</t>
        </is>
      </c>
      <c r="F47" s="13" t="inlineStr"/>
      <c r="G47" s="13" t="inlineStr"/>
      <c r="H47" s="13" t="inlineStr">
        <is>
          <t>2.62 [1.48, 4.43]</t>
        </is>
      </c>
      <c r="I47" s="14" t="inlineStr">
        <is>
          <t>directly-reported-IRR</t>
        </is>
      </c>
      <c r="J47" s="14" t="inlineStr">
        <is>
          <t>Table 1</t>
        </is>
      </c>
      <c r="K47" s="15" t="inlineStr"/>
      <c r="L47" s="15" t="inlineStr"/>
      <c r="M47" s="16" t="inlineStr"/>
    </row>
    <row r="48">
      <c r="A48" s="13" t="inlineStr">
        <is>
          <t>2406</t>
        </is>
      </c>
      <c r="B48" s="14" t="inlineStr">
        <is>
          <t>Sung2020_USCS50</t>
        </is>
      </c>
      <c r="C48" s="13" t="inlineStr">
        <is>
          <t>Black (women)</t>
        </is>
      </c>
      <c r="D48" s="13" t="inlineStr">
        <is>
          <t>White (women)</t>
        </is>
      </c>
      <c r="E48" s="13" t="inlineStr">
        <is>
          <t>aggregate-vs-NHW</t>
        </is>
      </c>
      <c r="F48" s="13" t="inlineStr">
        <is>
          <t>177.0</t>
        </is>
      </c>
      <c r="G48" s="13" t="inlineStr">
        <is>
          <t>181.5</t>
        </is>
      </c>
      <c r="H48" s="13" t="inlineStr">
        <is>
          <t>0.98 [0.97, 0.98]</t>
        </is>
      </c>
      <c r="I48" s="14" t="inlineStr">
        <is>
          <t>directly-reported-IRR</t>
        </is>
      </c>
      <c r="J48" s="14" t="inlineStr">
        <is>
          <t>Table 1 (female overall)</t>
        </is>
      </c>
      <c r="K48" s="15" t="inlineStr"/>
      <c r="L48" s="15" t="inlineStr"/>
      <c r="M48" s="16" t="inlineStr"/>
    </row>
    <row r="49">
      <c r="A49" s="13" t="inlineStr">
        <is>
          <t>28</t>
        </is>
      </c>
      <c r="B49" s="14" t="inlineStr">
        <is>
          <t>Nash2019_ANTR</t>
        </is>
      </c>
      <c r="C49" s="13" t="inlineStr">
        <is>
          <t>Alaska Native</t>
        </is>
      </c>
      <c r="D49" s="13" t="inlineStr">
        <is>
          <t>US White</t>
        </is>
      </c>
      <c r="E49" s="13" t="inlineStr">
        <is>
          <t>AIAN</t>
        </is>
      </c>
      <c r="F49" s="13" t="inlineStr">
        <is>
          <t>145.0 [130.4, 159.5]</t>
        </is>
      </c>
      <c r="G49" s="13" t="inlineStr">
        <is>
          <t>133.0 [132.2, 133.8]</t>
        </is>
      </c>
      <c r="H49" s="13" t="inlineStr">
        <is>
          <t>1.09 [0.99, 1.21]</t>
        </is>
      </c>
      <c r="I49" s="14" t="inlineStr">
        <is>
          <t>directly-reported-IRR</t>
        </is>
      </c>
      <c r="J49" s="14" t="inlineStr">
        <is>
          <t>Table 3 (all ages)</t>
        </is>
      </c>
      <c r="K49" s="15" t="inlineStr"/>
      <c r="L49" s="15" t="inlineStr"/>
      <c r="M49" s="16" t="inlineStr"/>
    </row>
    <row r="50">
      <c r="A50" s="13" t="inlineStr">
        <is>
          <t>199</t>
        </is>
      </c>
      <c r="B50" s="14" t="inlineStr">
        <is>
          <t>Baquet2008_SEER9</t>
        </is>
      </c>
      <c r="C50" s="13" t="inlineStr">
        <is>
          <t>Black (age&lt;40)</t>
        </is>
      </c>
      <c r="D50" s="13" t="inlineStr">
        <is>
          <t>White</t>
        </is>
      </c>
      <c r="E50" s="13" t="inlineStr">
        <is>
          <t>age-lt40</t>
        </is>
      </c>
      <c r="F50" s="13" t="inlineStr"/>
      <c r="G50" s="13" t="inlineStr"/>
      <c r="H50" s="13" t="inlineStr">
        <is>
          <t>1.16 [1.1, 1.23]</t>
        </is>
      </c>
      <c r="I50" s="14" t="inlineStr">
        <is>
          <t>directly-reported-IRR</t>
        </is>
      </c>
      <c r="J50" s="14" t="inlineStr">
        <is>
          <t>Results text</t>
        </is>
      </c>
      <c r="K50" s="15" t="inlineStr"/>
      <c r="L50" s="15" t="inlineStr"/>
      <c r="M50" s="16" t="inlineStr"/>
    </row>
    <row r="51">
      <c r="A51" s="13" t="inlineStr">
        <is>
          <t>107</t>
        </is>
      </c>
      <c r="B51" s="14" t="inlineStr">
        <is>
          <t>Zahrieh2021_NM-SEER</t>
        </is>
      </c>
      <c r="C51" s="13" t="inlineStr">
        <is>
          <t>AIAN</t>
        </is>
      </c>
      <c r="D51" s="13" t="inlineStr">
        <is>
          <t>NHW</t>
        </is>
      </c>
      <c r="E51" s="13" t="inlineStr">
        <is>
          <t>AIAN</t>
        </is>
      </c>
      <c r="F51" s="13" t="inlineStr"/>
      <c r="G51" s="13" t="inlineStr"/>
      <c r="H51" s="13" t="inlineStr">
        <is>
          <t>0.384 [0.253, 0.546]</t>
        </is>
      </c>
      <c r="I51" s="14" t="inlineStr">
        <is>
          <t>directly-reported-IRR</t>
        </is>
      </c>
      <c r="J51" s="14" t="inlineStr">
        <is>
          <t>Table (overall RR, Bayesian)</t>
        </is>
      </c>
      <c r="K51" s="15" t="inlineStr"/>
      <c r="L51" s="15" t="inlineStr"/>
      <c r="M51" s="16" t="inlineStr"/>
    </row>
    <row r="52">
      <c r="A52" s="13" t="inlineStr">
        <is>
          <t>161</t>
        </is>
      </c>
      <c r="B52" s="14" t="inlineStr">
        <is>
          <t>Loo2019_HTR</t>
        </is>
      </c>
      <c r="C52" s="13" t="inlineStr">
        <is>
          <t>Native Hawaiian</t>
        </is>
      </c>
      <c r="D52" s="13" t="inlineStr">
        <is>
          <t>White</t>
        </is>
      </c>
      <c r="E52" s="13" t="inlineStr">
        <is>
          <t>subtype-HRpos-HER2neg</t>
        </is>
      </c>
      <c r="F52" s="13" t="inlineStr"/>
      <c r="G52" s="13" t="inlineStr"/>
      <c r="H52" s="13" t="inlineStr">
        <is>
          <t>1.12 [1.11, 1.14]</t>
        </is>
      </c>
      <c r="I52" s="14" t="inlineStr">
        <is>
          <t>directly-reported-IRR</t>
        </is>
      </c>
      <c r="J52" s="14" t="inlineStr">
        <is>
          <t>Results text</t>
        </is>
      </c>
      <c r="K52" s="15" t="inlineStr"/>
      <c r="L52" s="15" t="inlineStr"/>
      <c r="M52" s="16" t="inlineStr"/>
    </row>
    <row r="53">
      <c r="A53" s="13" t="inlineStr">
        <is>
          <t>161</t>
        </is>
      </c>
      <c r="B53" s="14" t="inlineStr">
        <is>
          <t>Loo2019_HTR</t>
        </is>
      </c>
      <c r="C53" s="13" t="inlineStr">
        <is>
          <t>Native Hawaiian</t>
        </is>
      </c>
      <c r="D53" s="13" t="inlineStr">
        <is>
          <t>White</t>
        </is>
      </c>
      <c r="E53" s="13" t="inlineStr">
        <is>
          <t>subtype-HRpos-HER2pos</t>
        </is>
      </c>
      <c r="F53" s="13" t="inlineStr"/>
      <c r="G53" s="13" t="inlineStr"/>
      <c r="H53" s="13" t="inlineStr">
        <is>
          <t>1.35 [1.347, 1.351]</t>
        </is>
      </c>
      <c r="I53" s="14" t="inlineStr">
        <is>
          <t>directly-reported-IRR</t>
        </is>
      </c>
      <c r="J53" s="14" t="inlineStr">
        <is>
          <t>Results text</t>
        </is>
      </c>
      <c r="K53" s="15" t="inlineStr"/>
      <c r="L53" s="15" t="inlineStr"/>
      <c r="M53" s="16" t="inlineStr"/>
    </row>
    <row r="54">
      <c r="A54" s="13" t="inlineStr">
        <is>
          <t>161</t>
        </is>
      </c>
      <c r="B54" s="14" t="inlineStr">
        <is>
          <t>Loo2019_HTR</t>
        </is>
      </c>
      <c r="C54" s="13" t="inlineStr">
        <is>
          <t>Native Hawaiian</t>
        </is>
      </c>
      <c r="D54" s="13" t="inlineStr">
        <is>
          <t>White</t>
        </is>
      </c>
      <c r="E54" s="13" t="inlineStr">
        <is>
          <t>subtype-HRneg-HER2pos</t>
        </is>
      </c>
      <c r="F54" s="13" t="inlineStr"/>
      <c r="G54" s="13" t="inlineStr"/>
      <c r="H54" s="13" t="inlineStr">
        <is>
          <t>1.19 [1.16, 1.21]</t>
        </is>
      </c>
      <c r="I54" s="14" t="inlineStr">
        <is>
          <t>directly-reported-IRR</t>
        </is>
      </c>
      <c r="J54" s="14" t="inlineStr">
        <is>
          <t>Results text</t>
        </is>
      </c>
      <c r="K54" s="15" t="inlineStr"/>
      <c r="L54" s="15" t="inlineStr"/>
      <c r="M54" s="16" t="inlineStr"/>
    </row>
    <row r="55">
      <c r="A55" s="13" t="inlineStr">
        <is>
          <t>161</t>
        </is>
      </c>
      <c r="B55" s="14" t="inlineStr">
        <is>
          <t>Loo2019_HTR</t>
        </is>
      </c>
      <c r="C55" s="13" t="inlineStr">
        <is>
          <t>Native Hawaiian</t>
        </is>
      </c>
      <c r="D55" s="13" t="inlineStr">
        <is>
          <t>White</t>
        </is>
      </c>
      <c r="E55" s="13" t="inlineStr">
        <is>
          <t>subtype-TNBC</t>
        </is>
      </c>
      <c r="F55" s="13" t="inlineStr"/>
      <c r="G55" s="13" t="inlineStr"/>
      <c r="H55" s="13" t="inlineStr">
        <is>
          <t>0.86 [0.79, 0.91]</t>
        </is>
      </c>
      <c r="I55" s="14" t="inlineStr">
        <is>
          <t>directly-reported-IRR</t>
        </is>
      </c>
      <c r="J55" s="14" t="inlineStr">
        <is>
          <t>Results text</t>
        </is>
      </c>
      <c r="K55" s="15" t="inlineStr"/>
      <c r="L55" s="15" t="inlineStr"/>
      <c r="M55" s="16" t="inlineStr"/>
    </row>
    <row r="56">
      <c r="A56" s="13" t="inlineStr">
        <is>
          <t>161</t>
        </is>
      </c>
      <c r="B56" s="14" t="inlineStr">
        <is>
          <t>Loo2019_HTR</t>
        </is>
      </c>
      <c r="C56" s="13" t="inlineStr">
        <is>
          <t>Japanese</t>
        </is>
      </c>
      <c r="D56" s="13" t="inlineStr">
        <is>
          <t>White</t>
        </is>
      </c>
      <c r="E56" s="13" t="inlineStr">
        <is>
          <t>subtype-HRpos-HER2neg</t>
        </is>
      </c>
      <c r="F56" s="13" t="inlineStr"/>
      <c r="G56" s="13" t="inlineStr"/>
      <c r="H56" s="13" t="inlineStr">
        <is>
          <t>1.03 [1.03, 1.04]</t>
        </is>
      </c>
      <c r="I56" s="14" t="inlineStr">
        <is>
          <t>directly-reported-IRR</t>
        </is>
      </c>
      <c r="J56" s="14" t="inlineStr">
        <is>
          <t>Results text</t>
        </is>
      </c>
      <c r="K56" s="15" t="inlineStr"/>
      <c r="L56" s="15" t="inlineStr"/>
      <c r="M56" s="16" t="inlineStr"/>
    </row>
    <row r="57">
      <c r="A57" s="13" t="inlineStr">
        <is>
          <t>161</t>
        </is>
      </c>
      <c r="B57" s="14" t="inlineStr">
        <is>
          <t>Loo2019_HTR</t>
        </is>
      </c>
      <c r="C57" s="13" t="inlineStr">
        <is>
          <t>Japanese</t>
        </is>
      </c>
      <c r="D57" s="13" t="inlineStr">
        <is>
          <t>White</t>
        </is>
      </c>
      <c r="E57" s="13" t="inlineStr">
        <is>
          <t>subtype-HRpos-HER2pos</t>
        </is>
      </c>
      <c r="F57" s="13" t="inlineStr"/>
      <c r="G57" s="13" t="inlineStr"/>
      <c r="H57" s="13" t="inlineStr">
        <is>
          <t>1.03 [1.02, 1.05]</t>
        </is>
      </c>
      <c r="I57" s="14" t="inlineStr">
        <is>
          <t>directly-reported-IRR</t>
        </is>
      </c>
      <c r="J57" s="14" t="inlineStr">
        <is>
          <t>Results text</t>
        </is>
      </c>
      <c r="K57" s="15" t="inlineStr"/>
      <c r="L57" s="15" t="inlineStr"/>
      <c r="M57" s="16" t="inlineStr"/>
    </row>
    <row r="58">
      <c r="A58" s="13" t="inlineStr">
        <is>
          <t>161</t>
        </is>
      </c>
      <c r="B58" s="14" t="inlineStr">
        <is>
          <t>Loo2019_HTR</t>
        </is>
      </c>
      <c r="C58" s="13" t="inlineStr">
        <is>
          <t>Japanese</t>
        </is>
      </c>
      <c r="D58" s="13" t="inlineStr">
        <is>
          <t>White</t>
        </is>
      </c>
      <c r="E58" s="13" t="inlineStr">
        <is>
          <t>subtype-HRneg-HER2pos</t>
        </is>
      </c>
      <c r="F58" s="13" t="inlineStr"/>
      <c r="G58" s="13" t="inlineStr"/>
      <c r="H58" s="13" t="inlineStr">
        <is>
          <t>0.88 [0.82, 0.95]</t>
        </is>
      </c>
      <c r="I58" s="14" t="inlineStr">
        <is>
          <t>directly-reported-IRR</t>
        </is>
      </c>
      <c r="J58" s="14" t="inlineStr">
        <is>
          <t>Results text</t>
        </is>
      </c>
      <c r="K58" s="15" t="inlineStr"/>
      <c r="L58" s="15" t="inlineStr"/>
      <c r="M58" s="16" t="inlineStr"/>
    </row>
    <row r="59">
      <c r="A59" s="13" t="inlineStr">
        <is>
          <t>161</t>
        </is>
      </c>
      <c r="B59" s="14" t="inlineStr">
        <is>
          <t>Loo2019_HTR</t>
        </is>
      </c>
      <c r="C59" s="13" t="inlineStr">
        <is>
          <t>Filipino</t>
        </is>
      </c>
      <c r="D59" s="13" t="inlineStr">
        <is>
          <t>White</t>
        </is>
      </c>
      <c r="E59" s="13" t="inlineStr">
        <is>
          <t>subtype-HRpos-HER2neg</t>
        </is>
      </c>
      <c r="F59" s="13" t="inlineStr"/>
      <c r="G59" s="13" t="inlineStr"/>
      <c r="H59" s="13" t="inlineStr">
        <is>
          <t>0.64 [0.63, 0.66]</t>
        </is>
      </c>
      <c r="I59" s="14" t="inlineStr">
        <is>
          <t>directly-reported-IRR</t>
        </is>
      </c>
      <c r="J59" s="14" t="inlineStr">
        <is>
          <t>Results text</t>
        </is>
      </c>
      <c r="K59" s="15" t="inlineStr"/>
      <c r="L59" s="15" t="inlineStr"/>
      <c r="M59" s="16" t="inlineStr"/>
    </row>
    <row r="60">
      <c r="A60" s="13" t="inlineStr">
        <is>
          <t>161</t>
        </is>
      </c>
      <c r="B60" s="14" t="inlineStr">
        <is>
          <t>Loo2019_HTR</t>
        </is>
      </c>
      <c r="C60" s="13" t="inlineStr">
        <is>
          <t>Filipino</t>
        </is>
      </c>
      <c r="D60" s="13" t="inlineStr">
        <is>
          <t>White</t>
        </is>
      </c>
      <c r="E60" s="13" t="inlineStr">
        <is>
          <t>subtype-HRpos-HER2pos</t>
        </is>
      </c>
      <c r="F60" s="13" t="inlineStr"/>
      <c r="G60" s="13" t="inlineStr"/>
      <c r="H60" s="13" t="inlineStr">
        <is>
          <t>0.88 [0.86, 0.91]</t>
        </is>
      </c>
      <c r="I60" s="14" t="inlineStr">
        <is>
          <t>directly-reported-IRR</t>
        </is>
      </c>
      <c r="J60" s="14" t="inlineStr">
        <is>
          <t>Results text</t>
        </is>
      </c>
      <c r="K60" s="15" t="inlineStr"/>
      <c r="L60" s="15" t="inlineStr"/>
      <c r="M60" s="16" t="inlineStr"/>
    </row>
    <row r="61">
      <c r="A61" s="13" t="inlineStr">
        <is>
          <t>161</t>
        </is>
      </c>
      <c r="B61" s="14" t="inlineStr">
        <is>
          <t>Loo2019_HTR</t>
        </is>
      </c>
      <c r="C61" s="13" t="inlineStr">
        <is>
          <t>Filipino</t>
        </is>
      </c>
      <c r="D61" s="13" t="inlineStr">
        <is>
          <t>White</t>
        </is>
      </c>
      <c r="E61" s="13" t="inlineStr">
        <is>
          <t>subtype-TNBC</t>
        </is>
      </c>
      <c r="F61" s="13" t="inlineStr"/>
      <c r="G61" s="13" t="inlineStr"/>
      <c r="H61" s="13" t="inlineStr">
        <is>
          <t>0.84 [0.8, 0.88]</t>
        </is>
      </c>
      <c r="I61" s="14" t="inlineStr">
        <is>
          <t>directly-reported-IRR</t>
        </is>
      </c>
      <c r="J61" s="14" t="inlineStr">
        <is>
          <t>Results text</t>
        </is>
      </c>
      <c r="K61" s="15" t="inlineStr"/>
      <c r="L61" s="15" t="inlineStr"/>
      <c r="M61" s="16" t="inlineStr"/>
    </row>
    <row r="62">
      <c r="A62" s="13" t="inlineStr">
        <is>
          <t>161</t>
        </is>
      </c>
      <c r="B62" s="14" t="inlineStr">
        <is>
          <t>Loo2019_HTR</t>
        </is>
      </c>
      <c r="C62" s="13" t="inlineStr">
        <is>
          <t>Chinese</t>
        </is>
      </c>
      <c r="D62" s="13" t="inlineStr">
        <is>
          <t>White</t>
        </is>
      </c>
      <c r="E62" s="13" t="inlineStr">
        <is>
          <t>subtype-HRpos-HER2neg</t>
        </is>
      </c>
      <c r="F62" s="13" t="inlineStr"/>
      <c r="G62" s="13" t="inlineStr"/>
      <c r="H62" s="13" t="inlineStr">
        <is>
          <t>0.58</t>
        </is>
      </c>
      <c r="I62" s="14" t="inlineStr">
        <is>
          <t>directly-reported-IRR</t>
        </is>
      </c>
      <c r="J62" s="14" t="inlineStr">
        <is>
          <t>Results text</t>
        </is>
      </c>
      <c r="K62" s="15" t="inlineStr"/>
      <c r="L62" s="15" t="inlineStr"/>
      <c r="M62" s="16" t="inlineStr"/>
    </row>
    <row r="63">
      <c r="A63" s="13" t="inlineStr">
        <is>
          <t>161</t>
        </is>
      </c>
      <c r="B63" s="14" t="inlineStr">
        <is>
          <t>Loo2019_HTR</t>
        </is>
      </c>
      <c r="C63" s="13" t="inlineStr">
        <is>
          <t>Chinese</t>
        </is>
      </c>
      <c r="D63" s="13" t="inlineStr">
        <is>
          <t>White</t>
        </is>
      </c>
      <c r="E63" s="13" t="inlineStr">
        <is>
          <t>subtype-HRpos-HER2pos</t>
        </is>
      </c>
      <c r="F63" s="13" t="inlineStr"/>
      <c r="G63" s="13" t="inlineStr"/>
      <c r="H63" s="13" t="inlineStr">
        <is>
          <t>0.72 [0.55, 0.9]</t>
        </is>
      </c>
      <c r="I63" s="14" t="inlineStr">
        <is>
          <t>directly-reported-IRR</t>
        </is>
      </c>
      <c r="J63" s="14" t="inlineStr">
        <is>
          <t>Results text</t>
        </is>
      </c>
      <c r="K63" s="15" t="inlineStr"/>
      <c r="L63" s="15" t="inlineStr"/>
      <c r="M63" s="16" t="inlineStr"/>
    </row>
    <row r="64">
      <c r="A64" s="13" t="inlineStr">
        <is>
          <t>161</t>
        </is>
      </c>
      <c r="B64" s="14" t="inlineStr">
        <is>
          <t>Loo2019_HTR</t>
        </is>
      </c>
      <c r="C64" s="13" t="inlineStr">
        <is>
          <t>Chinese</t>
        </is>
      </c>
      <c r="D64" s="13" t="inlineStr">
        <is>
          <t>White</t>
        </is>
      </c>
      <c r="E64" s="13" t="inlineStr">
        <is>
          <t>subtype-TNBC</t>
        </is>
      </c>
      <c r="F64" s="13" t="inlineStr"/>
      <c r="G64" s="13" t="inlineStr"/>
      <c r="H64" s="13" t="inlineStr">
        <is>
          <t>0.53 [0.39, 0.71]</t>
        </is>
      </c>
      <c r="I64" s="14" t="inlineStr">
        <is>
          <t>directly-reported-IRR</t>
        </is>
      </c>
      <c r="J64" s="14" t="inlineStr">
        <is>
          <t>Results text</t>
        </is>
      </c>
      <c r="K64" s="15" t="inlineStr"/>
      <c r="L64" s="15" t="inlineStr"/>
      <c r="M64" s="16" t="inlineStr"/>
    </row>
    <row r="65">
      <c r="A65" s="13" t="inlineStr">
        <is>
          <t>203</t>
        </is>
      </c>
      <c r="B65" s="14" t="inlineStr">
        <is>
          <t>Brinton2008_SEER13</t>
        </is>
      </c>
      <c r="C65" s="13" t="inlineStr">
        <is>
          <t>Black</t>
        </is>
      </c>
      <c r="D65" s="13" t="inlineStr">
        <is>
          <t>White</t>
        </is>
      </c>
      <c r="E65" s="13" t="inlineStr">
        <is>
          <t>age-lt40</t>
        </is>
      </c>
      <c r="F65" s="13" t="inlineStr">
        <is>
          <t>2.3</t>
        </is>
      </c>
      <c r="G65" s="13" t="inlineStr">
        <is>
          <t>1.5</t>
        </is>
      </c>
      <c r="H65" s="13" t="inlineStr">
        <is>
          <t>1.533 [1.352, 1.739]</t>
        </is>
      </c>
      <c r="I65" s="14" t="inlineStr">
        <is>
          <t>computed-from-rates-Poisson-SE</t>
        </is>
      </c>
      <c r="J65" s="14" t="inlineStr">
        <is>
          <t>Table 1</t>
        </is>
      </c>
      <c r="K65" s="15" t="inlineStr"/>
      <c r="L65" s="15" t="inlineStr"/>
      <c r="M65" s="16" t="inlineStr"/>
    </row>
    <row r="66">
      <c r="A66" s="13" t="inlineStr">
        <is>
          <t>522</t>
        </is>
      </c>
      <c r="B66" s="14" t="inlineStr">
        <is>
          <t>Ihenacho2023_HTR</t>
        </is>
      </c>
      <c r="C66" s="13" t="inlineStr">
        <is>
          <t>Native Hawaiian</t>
        </is>
      </c>
      <c r="D66" s="13" t="inlineStr">
        <is>
          <t>NHW</t>
        </is>
      </c>
      <c r="E66" s="13" t="inlineStr">
        <is>
          <t>age-ge50</t>
        </is>
      </c>
      <c r="F66" s="13" t="inlineStr">
        <is>
          <t>137.6 [128.2, 147.4]</t>
        </is>
      </c>
      <c r="G66" s="13" t="inlineStr">
        <is>
          <t>100.7 [94.7, 106.9]</t>
        </is>
      </c>
      <c r="H66" s="13" t="inlineStr">
        <is>
          <t>1.366 [1.246, 1.499]</t>
        </is>
      </c>
      <c r="I66" s="14" t="inlineStr">
        <is>
          <t>computed-from-rates-with-CI</t>
        </is>
      </c>
      <c r="J66" s="14" t="inlineStr">
        <is>
          <t>Results (older &gt;=50)</t>
        </is>
      </c>
      <c r="K66" s="15" t="inlineStr"/>
      <c r="L66" s="15" t="inlineStr"/>
      <c r="M66" s="16" t="inlineStr"/>
    </row>
    <row r="67">
      <c r="A67" s="13" t="inlineStr">
        <is>
          <t>522</t>
        </is>
      </c>
      <c r="B67" s="14" t="inlineStr">
        <is>
          <t>Ihenacho2023_HTR</t>
        </is>
      </c>
      <c r="C67" s="13" t="inlineStr">
        <is>
          <t>Japanese</t>
        </is>
      </c>
      <c r="D67" s="13" t="inlineStr">
        <is>
          <t>NHW</t>
        </is>
      </c>
      <c r="E67" s="13" t="inlineStr">
        <is>
          <t>age-ge50</t>
        </is>
      </c>
      <c r="F67" s="13" t="inlineStr">
        <is>
          <t>107.1 [100.9, 113.4]</t>
        </is>
      </c>
      <c r="G67" s="13" t="inlineStr">
        <is>
          <t>100.7 [94.7, 106.9]</t>
        </is>
      </c>
      <c r="H67" s="13" t="inlineStr">
        <is>
          <t>1.064 [0.978, 1.157]</t>
        </is>
      </c>
      <c r="I67" s="14" t="inlineStr">
        <is>
          <t>computed-from-rates-with-CI</t>
        </is>
      </c>
      <c r="J67" s="14" t="inlineStr">
        <is>
          <t>Results (older &gt;=50)</t>
        </is>
      </c>
      <c r="K67" s="15" t="inlineStr"/>
      <c r="L67" s="15" t="inlineStr"/>
      <c r="M67" s="16" t="inlineStr"/>
    </row>
    <row r="68">
      <c r="A68" s="13" t="inlineStr">
        <is>
          <t>522</t>
        </is>
      </c>
      <c r="B68" s="14" t="inlineStr">
        <is>
          <t>Ihenacho2023_HTR</t>
        </is>
      </c>
      <c r="C68" s="13" t="inlineStr">
        <is>
          <t>Filipina</t>
        </is>
      </c>
      <c r="D68" s="13" t="inlineStr">
        <is>
          <t>NHW</t>
        </is>
      </c>
      <c r="E68" s="13" t="inlineStr">
        <is>
          <t>age-ge50</t>
        </is>
      </c>
      <c r="F68" s="13" t="inlineStr">
        <is>
          <t>77.9 [71.8, 84.2]</t>
        </is>
      </c>
      <c r="G68" s="13" t="inlineStr">
        <is>
          <t>100.7 [94.7, 106.9]</t>
        </is>
      </c>
      <c r="H68" s="13" t="inlineStr">
        <is>
          <t>0.774 [0.700, 0.855]</t>
        </is>
      </c>
      <c r="I68" s="14" t="inlineStr">
        <is>
          <t>computed-from-rates-with-CI</t>
        </is>
      </c>
      <c r="J68" s="14" t="inlineStr">
        <is>
          <t>Results (older &gt;=50)</t>
        </is>
      </c>
      <c r="K68" s="15" t="inlineStr"/>
      <c r="L68" s="15" t="inlineStr"/>
      <c r="M68" s="16" t="inlineStr"/>
    </row>
    <row r="69">
      <c r="A69" s="13" t="inlineStr">
        <is>
          <t>522</t>
        </is>
      </c>
      <c r="B69" s="14" t="inlineStr">
        <is>
          <t>Ihenacho2023_HTR</t>
        </is>
      </c>
      <c r="C69" s="13" t="inlineStr">
        <is>
          <t>Japanese</t>
        </is>
      </c>
      <c r="D69" s="13" t="inlineStr">
        <is>
          <t>NHW</t>
        </is>
      </c>
      <c r="E69" s="13" t="inlineStr">
        <is>
          <t>age-lt50</t>
        </is>
      </c>
      <c r="F69" s="13" t="inlineStr">
        <is>
          <t>39.5 [33.9, 45.4]</t>
        </is>
      </c>
      <c r="G69" s="13" t="inlineStr">
        <is>
          <t>26.7 [24.6, 28.9]</t>
        </is>
      </c>
      <c r="H69" s="13" t="inlineStr">
        <is>
          <t>1.479 [1.252, 1.748]</t>
        </is>
      </c>
      <c r="I69" s="14" t="inlineStr">
        <is>
          <t>computed-from-rates-with-CI</t>
        </is>
      </c>
      <c r="J69" s="14" t="inlineStr">
        <is>
          <t>Results (young &lt;50)</t>
        </is>
      </c>
      <c r="K69" s="15" t="inlineStr"/>
      <c r="L69" s="15" t="inlineStr"/>
      <c r="M69" s="16" t="inlineStr"/>
    </row>
    <row r="70">
      <c r="A70" s="13" t="inlineStr">
        <is>
          <t>522</t>
        </is>
      </c>
      <c r="B70" s="14" t="inlineStr">
        <is>
          <t>Ihenacho2023_HTR</t>
        </is>
      </c>
      <c r="C70" s="13" t="inlineStr">
        <is>
          <t>Native Hawaiian</t>
        </is>
      </c>
      <c r="D70" s="13" t="inlineStr">
        <is>
          <t>NHW</t>
        </is>
      </c>
      <c r="E70" s="13" t="inlineStr">
        <is>
          <t>age-lt50</t>
        </is>
      </c>
      <c r="F70" s="13" t="inlineStr">
        <is>
          <t>22.9 [19.2, 27.0]</t>
        </is>
      </c>
      <c r="G70" s="13" t="inlineStr">
        <is>
          <t>26.7 [24.6, 28.9]</t>
        </is>
      </c>
      <c r="H70" s="13" t="inlineStr">
        <is>
          <t>0.858 [0.710, 1.036]</t>
        </is>
      </c>
      <c r="I70" s="14" t="inlineStr">
        <is>
          <t>computed-from-rates-with-CI</t>
        </is>
      </c>
      <c r="J70" s="14" t="inlineStr">
        <is>
          <t>Results (young &lt;50)</t>
        </is>
      </c>
      <c r="K70" s="15" t="inlineStr"/>
      <c r="L70" s="15" t="inlineStr"/>
      <c r="M70" s="16" t="inlineStr"/>
    </row>
    <row r="71">
      <c r="A71" s="13" t="inlineStr">
        <is>
          <t>522</t>
        </is>
      </c>
      <c r="B71" s="14" t="inlineStr">
        <is>
          <t>Ihenacho2023_HTR</t>
        </is>
      </c>
      <c r="C71" s="13" t="inlineStr">
        <is>
          <t>Filipina</t>
        </is>
      </c>
      <c r="D71" s="13" t="inlineStr">
        <is>
          <t>NHW</t>
        </is>
      </c>
      <c r="E71" s="13" t="inlineStr">
        <is>
          <t>age-lt50</t>
        </is>
      </c>
      <c r="F71" s="13" t="inlineStr">
        <is>
          <t>20.5 [17.1, 24.3]</t>
        </is>
      </c>
      <c r="G71" s="13" t="inlineStr">
        <is>
          <t>26.7 [24.6, 28.9]</t>
        </is>
      </c>
      <c r="H71" s="13" t="inlineStr">
        <is>
          <t>0.768 [0.633, 0.932]</t>
        </is>
      </c>
      <c r="I71" s="14" t="inlineStr">
        <is>
          <t>computed-from-rates-with-CI</t>
        </is>
      </c>
      <c r="J71" s="14" t="inlineStr">
        <is>
          <t>Results (young &lt;50)</t>
        </is>
      </c>
      <c r="K71" s="15" t="inlineStr"/>
      <c r="L71" s="15" t="inlineStr"/>
      <c r="M71" s="16" t="inlineStr"/>
    </row>
    <row r="72">
      <c r="A72" s="13" t="inlineStr">
        <is>
          <t>10</t>
        </is>
      </c>
      <c r="B72" s="14" t="inlineStr">
        <is>
          <t>Davis Lynn2025_SEER17</t>
        </is>
      </c>
      <c r="C72" s="13" t="inlineStr">
        <is>
          <t>Black</t>
        </is>
      </c>
      <c r="D72" s="13" t="inlineStr">
        <is>
          <t>NHW</t>
        </is>
      </c>
      <c r="E72" s="13" t="inlineStr">
        <is>
          <t>aggregate-vs-NHW</t>
        </is>
      </c>
      <c r="F72" s="13" t="inlineStr">
        <is>
          <t>148.5 [146.4, 150.7]</t>
        </is>
      </c>
      <c r="G72" s="13" t="inlineStr">
        <is>
          <t>152.9 [151.9, 153.8]</t>
        </is>
      </c>
      <c r="H72" s="13" t="inlineStr">
        <is>
          <t>0.971 [0.956, 0.987]</t>
        </is>
      </c>
      <c r="I72" s="14" t="inlineStr">
        <is>
          <t>computed-from-rates-with-CI</t>
        </is>
      </c>
      <c r="J72" s="14" t="inlineStr">
        <is>
          <t>Table 2</t>
        </is>
      </c>
      <c r="K72" s="15" t="inlineStr"/>
      <c r="L72" s="15" t="inlineStr"/>
      <c r="M72" s="16" t="inlineStr"/>
    </row>
    <row r="73">
      <c r="A73" s="13" t="inlineStr">
        <is>
          <t>10</t>
        </is>
      </c>
      <c r="B73" s="14" t="inlineStr">
        <is>
          <t>Davis Lynn2025_SEER17</t>
        </is>
      </c>
      <c r="C73" s="13" t="inlineStr">
        <is>
          <t>Black</t>
        </is>
      </c>
      <c r="D73" s="13" t="inlineStr">
        <is>
          <t>NHW</t>
        </is>
      </c>
      <c r="E73" s="13" t="inlineStr">
        <is>
          <t>subtype-HRpos</t>
        </is>
      </c>
      <c r="F73" s="13" t="inlineStr">
        <is>
          <t>105.4 [103.6, 107.3]</t>
        </is>
      </c>
      <c r="G73" s="13" t="inlineStr">
        <is>
          <t>128.5 [127.9, 129.7]</t>
        </is>
      </c>
      <c r="H73" s="13" t="inlineStr">
        <is>
          <t>0.820 [0.805, 0.836]</t>
        </is>
      </c>
      <c r="I73" s="14" t="inlineStr">
        <is>
          <t>computed-from-rates-with-CI</t>
        </is>
      </c>
      <c r="J73" s="14" t="inlineStr">
        <is>
          <t>Table 2</t>
        </is>
      </c>
      <c r="K73" s="15" t="inlineStr"/>
      <c r="L73" s="15" t="inlineStr"/>
      <c r="M73" s="16" t="inlineStr"/>
    </row>
    <row r="74">
      <c r="A74" s="13" t="inlineStr">
        <is>
          <t>10</t>
        </is>
      </c>
      <c r="B74" s="14" t="inlineStr">
        <is>
          <t>Davis Lynn2025_SEER17</t>
        </is>
      </c>
      <c r="C74" s="13" t="inlineStr">
        <is>
          <t>Black</t>
        </is>
      </c>
      <c r="D74" s="13" t="inlineStr">
        <is>
          <t>NHW</t>
        </is>
      </c>
      <c r="E74" s="13" t="inlineStr">
        <is>
          <t>subtype-HRneg</t>
        </is>
      </c>
      <c r="F74" s="13" t="inlineStr">
        <is>
          <t>43.1 [42.0, 44.3]</t>
        </is>
      </c>
      <c r="G74" s="13" t="inlineStr">
        <is>
          <t>24.0 [23.6, 24.4]</t>
        </is>
      </c>
      <c r="H74" s="13" t="inlineStr">
        <is>
          <t>1.796 [1.740, 1.853]</t>
        </is>
      </c>
      <c r="I74" s="14" t="inlineStr">
        <is>
          <t>computed-from-rates-with-CI</t>
        </is>
      </c>
      <c r="J74" s="14" t="inlineStr">
        <is>
          <t>Table 2</t>
        </is>
      </c>
      <c r="K74" s="15" t="inlineStr"/>
      <c r="L74" s="15" t="inlineStr"/>
      <c r="M74" s="16" t="inlineStr"/>
    </row>
    <row r="75">
      <c r="A75" s="13" t="inlineStr">
        <is>
          <t>333</t>
        </is>
      </c>
      <c r="B75" s="14" t="inlineStr">
        <is>
          <t>Keegan2010_CCR</t>
        </is>
      </c>
      <c r="C75" s="13" t="inlineStr">
        <is>
          <t>Hispanic</t>
        </is>
      </c>
      <c r="D75" s="13" t="inlineStr">
        <is>
          <t>NHW</t>
        </is>
      </c>
      <c r="E75" s="13" t="inlineStr">
        <is>
          <t>aggregate-vs-NHW</t>
        </is>
      </c>
      <c r="F75" s="13" t="inlineStr">
        <is>
          <t>78.3 [77.4, 79.1]</t>
        </is>
      </c>
      <c r="G75" s="13" t="inlineStr">
        <is>
          <t>125.7 [125.1, 126.2]</t>
        </is>
      </c>
      <c r="H75" s="13" t="inlineStr">
        <is>
          <t>0.623 [0.616, 0.630]</t>
        </is>
      </c>
      <c r="I75" s="14" t="inlineStr">
        <is>
          <t>computed-from-rates-with-CI</t>
        </is>
      </c>
      <c r="J75" s="14" t="inlineStr">
        <is>
          <t>text</t>
        </is>
      </c>
      <c r="K75" s="15" t="inlineStr"/>
      <c r="L75" s="15" t="inlineStr"/>
      <c r="M75" s="16" t="inlineStr"/>
    </row>
    <row r="76">
      <c r="A76" s="13" t="inlineStr">
        <is>
          <t>236</t>
        </is>
      </c>
      <c r="B76" s="14" t="inlineStr">
        <is>
          <t>Gomez2010_CCR</t>
        </is>
      </c>
      <c r="C76" s="13" t="inlineStr">
        <is>
          <t>Chinese (US-born)</t>
        </is>
      </c>
      <c r="D76" s="13" t="inlineStr">
        <is>
          <t>foreign-born Chinese</t>
        </is>
      </c>
      <c r="E76" s="13" t="inlineStr">
        <is>
          <t>nativity</t>
        </is>
      </c>
      <c r="F76" s="13" t="inlineStr"/>
      <c r="G76" s="13" t="inlineStr"/>
      <c r="H76" s="13" t="inlineStr">
        <is>
          <t>1.84 [1.72, 1.96]</t>
        </is>
      </c>
      <c r="I76" s="14" t="inlineStr">
        <is>
          <t>directly-reported-IRR</t>
        </is>
      </c>
      <c r="J76" s="14" t="inlineStr">
        <is>
          <t>Results</t>
        </is>
      </c>
      <c r="K76" s="15" t="inlineStr"/>
      <c r="L76" s="15" t="inlineStr"/>
      <c r="M76" s="16" t="inlineStr"/>
    </row>
    <row r="77">
      <c r="A77" s="13" t="inlineStr">
        <is>
          <t>236</t>
        </is>
      </c>
      <c r="B77" s="14" t="inlineStr">
        <is>
          <t>Gomez2010_CCR</t>
        </is>
      </c>
      <c r="C77" s="13" t="inlineStr">
        <is>
          <t>Filipina (US-born)</t>
        </is>
      </c>
      <c r="D77" s="13" t="inlineStr">
        <is>
          <t>foreign-born Filipina</t>
        </is>
      </c>
      <c r="E77" s="13" t="inlineStr">
        <is>
          <t>nativity</t>
        </is>
      </c>
      <c r="F77" s="13" t="inlineStr"/>
      <c r="G77" s="13" t="inlineStr"/>
      <c r="H77" s="13" t="inlineStr">
        <is>
          <t>1.32 [1.2, 1.44]</t>
        </is>
      </c>
      <c r="I77" s="14" t="inlineStr">
        <is>
          <t>directly-reported-IRR</t>
        </is>
      </c>
      <c r="J77" s="14" t="inlineStr">
        <is>
          <t>Results</t>
        </is>
      </c>
      <c r="K77" s="15" t="inlineStr"/>
      <c r="L77" s="15" t="inlineStr"/>
      <c r="M77" s="16" t="inlineStr"/>
    </row>
    <row r="78">
      <c r="A78" s="13" t="inlineStr">
        <is>
          <t>146</t>
        </is>
      </c>
      <c r="B78" s="14" t="inlineStr">
        <is>
          <t>Xu2024_SEER</t>
        </is>
      </c>
      <c r="C78" s="13" t="inlineStr">
        <is>
          <t>Black</t>
        </is>
      </c>
      <c r="D78" s="13" t="inlineStr">
        <is>
          <t>NHW</t>
        </is>
      </c>
      <c r="E78" s="13" t="inlineStr">
        <is>
          <t>age-lt50</t>
        </is>
      </c>
      <c r="F78" s="13" t="inlineStr"/>
      <c r="G78" s="13" t="inlineStr"/>
      <c r="H78" s="13" t="inlineStr">
        <is>
          <t>1.01 [1.0, 1.03]</t>
        </is>
      </c>
      <c r="I78" s="14" t="inlineStr">
        <is>
          <t>directly-reported-IRR</t>
        </is>
      </c>
      <c r="J78" s="14" t="inlineStr">
        <is>
          <t>Table (ages 20-49)</t>
        </is>
      </c>
      <c r="K78" s="15" t="inlineStr"/>
      <c r="L78" s="15" t="inlineStr"/>
      <c r="M78" s="16" t="inlineStr"/>
    </row>
    <row r="79">
      <c r="A79" s="13" t="inlineStr">
        <is>
          <t>146</t>
        </is>
      </c>
      <c r="B79" s="14" t="inlineStr">
        <is>
          <t>Xu2024_SEER</t>
        </is>
      </c>
      <c r="C79" s="13" t="inlineStr">
        <is>
          <t>Asian/PI (aggregate)</t>
        </is>
      </c>
      <c r="D79" s="13" t="inlineStr">
        <is>
          <t>NHW</t>
        </is>
      </c>
      <c r="E79" s="13" t="inlineStr">
        <is>
          <t>age-lt50</t>
        </is>
      </c>
      <c r="F79" s="13" t="inlineStr"/>
      <c r="G79" s="13" t="inlineStr"/>
      <c r="H79" s="13" t="inlineStr">
        <is>
          <t>0.96 [0.95, 0.97]</t>
        </is>
      </c>
      <c r="I79" s="14" t="inlineStr">
        <is>
          <t>directly-reported-IRR</t>
        </is>
      </c>
      <c r="J79" s="14" t="inlineStr">
        <is>
          <t>Table (ages 20-49)</t>
        </is>
      </c>
      <c r="K79" s="15" t="inlineStr"/>
      <c r="L79" s="15" t="inlineStr"/>
      <c r="M79" s="16" t="inlineStr"/>
    </row>
    <row r="80">
      <c r="A80" s="13" t="inlineStr">
        <is>
          <t>146</t>
        </is>
      </c>
      <c r="B80" s="14" t="inlineStr">
        <is>
          <t>Xu2024_SEER</t>
        </is>
      </c>
      <c r="C80" s="13" t="inlineStr">
        <is>
          <t>AIAN</t>
        </is>
      </c>
      <c r="D80" s="13" t="inlineStr">
        <is>
          <t>NHW</t>
        </is>
      </c>
      <c r="E80" s="13" t="inlineStr">
        <is>
          <t>age-lt50</t>
        </is>
      </c>
      <c r="F80" s="13" t="inlineStr"/>
      <c r="G80" s="13" t="inlineStr"/>
      <c r="H80" s="13" t="inlineStr">
        <is>
          <t>0.75 [0.72, 0.79]</t>
        </is>
      </c>
      <c r="I80" s="14" t="inlineStr">
        <is>
          <t>directly-reported-IRR</t>
        </is>
      </c>
      <c r="J80" s="14" t="inlineStr">
        <is>
          <t>Table (ages 20-49)</t>
        </is>
      </c>
      <c r="K80" s="15" t="inlineStr"/>
      <c r="L80" s="15" t="inlineStr"/>
      <c r="M80" s="16" t="inlineStr"/>
    </row>
    <row r="81">
      <c r="A81" s="13" t="inlineStr">
        <is>
          <t>146</t>
        </is>
      </c>
      <c r="B81" s="14" t="inlineStr">
        <is>
          <t>Xu2024_SEER</t>
        </is>
      </c>
      <c r="C81" s="13" t="inlineStr">
        <is>
          <t>Hispanic</t>
        </is>
      </c>
      <c r="D81" s="13" t="inlineStr">
        <is>
          <t>NHW</t>
        </is>
      </c>
      <c r="E81" s="13" t="inlineStr">
        <is>
          <t>age-lt50</t>
        </is>
      </c>
      <c r="F81" s="13" t="inlineStr"/>
      <c r="G81" s="13" t="inlineStr"/>
      <c r="H81" s="13" t="inlineStr">
        <is>
          <t>0.76 [0.75, 0.77]</t>
        </is>
      </c>
      <c r="I81" s="14" t="inlineStr">
        <is>
          <t>directly-reported-IRR</t>
        </is>
      </c>
      <c r="J81" s="14" t="inlineStr">
        <is>
          <t>Table (ages 20-49)</t>
        </is>
      </c>
      <c r="K81" s="15" t="inlineStr"/>
      <c r="L81" s="15" t="inlineStr"/>
      <c r="M81" s="16" t="inlineStr"/>
    </row>
    <row r="82">
      <c r="A82" s="13" t="inlineStr">
        <is>
          <t>155</t>
        </is>
      </c>
      <c r="B82" s="14" t="inlineStr">
        <is>
          <t>Sung2023_USCS</t>
        </is>
      </c>
      <c r="C82" s="13" t="inlineStr">
        <is>
          <t>Black</t>
        </is>
      </c>
      <c r="D82" s="13" t="inlineStr">
        <is>
          <t>NHW</t>
        </is>
      </c>
      <c r="E82" s="13" t="inlineStr">
        <is>
          <t>subtype-TNBC</t>
        </is>
      </c>
      <c r="F82" s="13" t="inlineStr">
        <is>
          <t>25.2</t>
        </is>
      </c>
      <c r="G82" s="13" t="inlineStr">
        <is>
          <t>12.9</t>
        </is>
      </c>
      <c r="H82" s="13" t="inlineStr">
        <is>
          <t>1.950 [1.930, 1.980]</t>
        </is>
      </c>
      <c r="I82" s="14" t="inlineStr">
        <is>
          <t>directly-reported-IRR</t>
        </is>
      </c>
      <c r="J82" s="14" t="inlineStr">
        <is>
          <t>Results text</t>
        </is>
      </c>
      <c r="K82" s="15" t="inlineStr"/>
      <c r="L82" s="15" t="inlineStr"/>
      <c r="M82" s="16" t="inlineStr"/>
    </row>
    <row r="83">
      <c r="A83" s="13" t="inlineStr">
        <is>
          <t>155</t>
        </is>
      </c>
      <c r="B83" s="14" t="inlineStr">
        <is>
          <t>Sung2023_USCS</t>
        </is>
      </c>
      <c r="C83" s="13" t="inlineStr">
        <is>
          <t>AIAN</t>
        </is>
      </c>
      <c r="D83" s="13" t="inlineStr">
        <is>
          <t>NHW</t>
        </is>
      </c>
      <c r="E83" s="13" t="inlineStr">
        <is>
          <t>subtype-TNBC</t>
        </is>
      </c>
      <c r="F83" s="13" t="inlineStr">
        <is>
          <t>11.2</t>
        </is>
      </c>
      <c r="G83" s="13" t="inlineStr">
        <is>
          <t>12.9</t>
        </is>
      </c>
      <c r="H83" s="13" t="inlineStr">
        <is>
          <t>0.860 [0.800, 0.930]</t>
        </is>
      </c>
      <c r="I83" s="14" t="inlineStr">
        <is>
          <t>directly-reported-IRR</t>
        </is>
      </c>
      <c r="J83" s="14" t="inlineStr">
        <is>
          <t>Results text</t>
        </is>
      </c>
      <c r="K83" s="15" t="inlineStr"/>
      <c r="L83" s="15" t="inlineStr"/>
      <c r="M83" s="16" t="inlineStr"/>
    </row>
    <row r="84">
      <c r="A84" s="13" t="inlineStr">
        <is>
          <t>155</t>
        </is>
      </c>
      <c r="B84" s="14" t="inlineStr">
        <is>
          <t>Sung2023_USCS</t>
        </is>
      </c>
      <c r="C84" s="13" t="inlineStr">
        <is>
          <t>Hispanic</t>
        </is>
      </c>
      <c r="D84" s="13" t="inlineStr">
        <is>
          <t>NHW</t>
        </is>
      </c>
      <c r="E84" s="13" t="inlineStr">
        <is>
          <t>subtype-TNBC</t>
        </is>
      </c>
      <c r="F84" s="13" t="inlineStr">
        <is>
          <t>11.1</t>
        </is>
      </c>
      <c r="G84" s="13" t="inlineStr">
        <is>
          <t>12.9</t>
        </is>
      </c>
      <c r="H84" s="13" t="inlineStr">
        <is>
          <t>0.860 [0.840, 0.880]</t>
        </is>
      </c>
      <c r="I84" s="14" t="inlineStr">
        <is>
          <t>directly-reported-IRR</t>
        </is>
      </c>
      <c r="J84" s="14" t="inlineStr">
        <is>
          <t>Results text</t>
        </is>
      </c>
      <c r="K84" s="15" t="inlineStr"/>
      <c r="L84" s="15" t="inlineStr"/>
      <c r="M84" s="16" t="inlineStr"/>
    </row>
    <row r="85">
      <c r="A85" s="13" t="inlineStr">
        <is>
          <t>155</t>
        </is>
      </c>
      <c r="B85" s="14" t="inlineStr">
        <is>
          <t>Sung2023_USCS</t>
        </is>
      </c>
      <c r="C85" s="13" t="inlineStr">
        <is>
          <t>Asian/PI (aggregate)</t>
        </is>
      </c>
      <c r="D85" s="13" t="inlineStr">
        <is>
          <t>NHW</t>
        </is>
      </c>
      <c r="E85" s="13" t="inlineStr">
        <is>
          <t>subtype-TNBC</t>
        </is>
      </c>
      <c r="F85" s="13" t="inlineStr">
        <is>
          <t>9.0</t>
        </is>
      </c>
      <c r="G85" s="13" t="inlineStr">
        <is>
          <t>12.9</t>
        </is>
      </c>
      <c r="H85" s="13" t="inlineStr">
        <is>
          <t>0.700 [0.680, 0.720]</t>
        </is>
      </c>
      <c r="I85" s="14" t="inlineStr">
        <is>
          <t>directly-reported-IRR</t>
        </is>
      </c>
      <c r="J85" s="14" t="inlineStr">
        <is>
          <t>Results text</t>
        </is>
      </c>
      <c r="K85" s="15" t="inlineStr"/>
      <c r="L85" s="15" t="inlineStr"/>
      <c r="M85" s="16" t="inlineStr"/>
    </row>
    <row r="86">
      <c r="A86" s="13" t="inlineStr">
        <is>
          <t>2510</t>
        </is>
      </c>
      <c r="B86" s="14" t="inlineStr">
        <is>
          <t>Melkonian2019_IHS-PRCDA</t>
        </is>
      </c>
      <c r="C86" s="13" t="inlineStr">
        <is>
          <t>AIAN</t>
        </is>
      </c>
      <c r="D86" s="13" t="inlineStr">
        <is>
          <t>White</t>
        </is>
      </c>
      <c r="E86" s="13" t="inlineStr">
        <is>
          <t>AIAN</t>
        </is>
      </c>
      <c r="F86" s="13" t="inlineStr"/>
      <c r="G86" s="13" t="inlineStr"/>
      <c r="H86" s="13" t="inlineStr">
        <is>
          <t>0.87</t>
        </is>
      </c>
      <c r="I86" s="14" t="inlineStr">
        <is>
          <t>directly-reported-IRR</t>
        </is>
      </c>
      <c r="J86" s="14" t="inlineStr">
        <is>
          <t>Results (Table 3)</t>
        </is>
      </c>
      <c r="K86" s="15" t="inlineStr"/>
      <c r="L86" s="15" t="inlineStr"/>
      <c r="M86" s="16" t="inlineStr"/>
    </row>
    <row r="87">
      <c r="A87" s="13" t="inlineStr">
        <is>
          <t>2131</t>
        </is>
      </c>
      <c r="B87" s="14" t="inlineStr">
        <is>
          <t>Xie2022_USCS</t>
        </is>
      </c>
      <c r="C87" s="13" t="inlineStr">
        <is>
          <t>Black</t>
        </is>
      </c>
      <c r="D87" s="13" t="inlineStr">
        <is>
          <t>White (NH)</t>
        </is>
      </c>
      <c r="E87" s="13" t="inlineStr">
        <is>
          <t>aggregate-vs-NHW</t>
        </is>
      </c>
      <c r="F87" s="13" t="inlineStr">
        <is>
          <t>123.2 [122.9, 123.6]</t>
        </is>
      </c>
      <c r="G87" s="13" t="inlineStr">
        <is>
          <t>131.0 [130.8, 131.1]</t>
        </is>
      </c>
      <c r="H87" s="13" t="inlineStr">
        <is>
          <t>0.940 [0.938, 0.943]</t>
        </is>
      </c>
      <c r="I87" s="14" t="inlineStr">
        <is>
          <t>computed-from-rates-with-CI</t>
        </is>
      </c>
      <c r="J87" s="14" t="inlineStr">
        <is>
          <t>Table (avg rate)</t>
        </is>
      </c>
      <c r="K87" s="15" t="inlineStr"/>
      <c r="L87" s="15" t="inlineStr"/>
      <c r="M87" s="16" t="inlineStr"/>
    </row>
    <row r="88">
      <c r="A88" s="13" t="inlineStr">
        <is>
          <t>2131</t>
        </is>
      </c>
      <c r="B88" s="14" t="inlineStr">
        <is>
          <t>Xie2022_USCS</t>
        </is>
      </c>
      <c r="C88" s="13" t="inlineStr">
        <is>
          <t>AIAN</t>
        </is>
      </c>
      <c r="D88" s="13" t="inlineStr">
        <is>
          <t>White (NH)</t>
        </is>
      </c>
      <c r="E88" s="13" t="inlineStr">
        <is>
          <t>aggregate-vs-NHW</t>
        </is>
      </c>
      <c r="F88" s="13" t="inlineStr">
        <is>
          <t>94.0 [92.7, 95.4]</t>
        </is>
      </c>
      <c r="G88" s="13" t="inlineStr">
        <is>
          <t>131.0 [130.8, 131.1]</t>
        </is>
      </c>
      <c r="H88" s="13" t="inlineStr">
        <is>
          <t>0.718 [0.707, 0.728]</t>
        </is>
      </c>
      <c r="I88" s="14" t="inlineStr">
        <is>
          <t>computed-from-rates-with-CI</t>
        </is>
      </c>
      <c r="J88" s="14" t="inlineStr">
        <is>
          <t>Table (avg rate)</t>
        </is>
      </c>
      <c r="K88" s="15" t="inlineStr"/>
      <c r="L88" s="15" t="inlineStr"/>
      <c r="M88" s="16" t="inlineStr"/>
    </row>
    <row r="89">
      <c r="A89" s="13" t="inlineStr">
        <is>
          <t>2131</t>
        </is>
      </c>
      <c r="B89" s="14" t="inlineStr">
        <is>
          <t>Xie2022_USCS</t>
        </is>
      </c>
      <c r="C89" s="13" t="inlineStr">
        <is>
          <t>Asian/PI (aggregate)</t>
        </is>
      </c>
      <c r="D89" s="13" t="inlineStr">
        <is>
          <t>White (NH)</t>
        </is>
      </c>
      <c r="E89" s="13" t="inlineStr">
        <is>
          <t>aggregate-vs-NHW</t>
        </is>
      </c>
      <c r="F89" s="13" t="inlineStr">
        <is>
          <t>90.9 [90.4, 91.4]</t>
        </is>
      </c>
      <c r="G89" s="13" t="inlineStr">
        <is>
          <t>131.0 [130.8, 131.1]</t>
        </is>
      </c>
      <c r="H89" s="13" t="inlineStr">
        <is>
          <t>0.694 [0.690, 0.698]</t>
        </is>
      </c>
      <c r="I89" s="14" t="inlineStr">
        <is>
          <t>computed-from-rates-with-CI</t>
        </is>
      </c>
      <c r="J89" s="14" t="inlineStr">
        <is>
          <t>Table (avg rate)</t>
        </is>
      </c>
      <c r="K89" s="15" t="inlineStr"/>
      <c r="L89" s="15" t="inlineStr"/>
      <c r="M89" s="16" t="inlineStr"/>
    </row>
    <row r="90">
      <c r="A90" s="13" t="inlineStr">
        <is>
          <t>2131</t>
        </is>
      </c>
      <c r="B90" s="14" t="inlineStr">
        <is>
          <t>Xie2022_USCS</t>
        </is>
      </c>
      <c r="C90" s="13" t="inlineStr">
        <is>
          <t>Hispanic</t>
        </is>
      </c>
      <c r="D90" s="13" t="inlineStr">
        <is>
          <t>White (NH)</t>
        </is>
      </c>
      <c r="E90" s="13" t="inlineStr">
        <is>
          <t>aggregate-vs-NHW</t>
        </is>
      </c>
      <c r="F90" s="13" t="inlineStr">
        <is>
          <t>93.0 [92.7, 93.4]</t>
        </is>
      </c>
      <c r="G90" s="13" t="inlineStr">
        <is>
          <t>131.0 [130.8, 131.1]</t>
        </is>
      </c>
      <c r="H90" s="13" t="inlineStr">
        <is>
          <t>0.710 [0.707, 0.713]</t>
        </is>
      </c>
      <c r="I90" s="14" t="inlineStr">
        <is>
          <t>computed-from-rates-with-CI</t>
        </is>
      </c>
      <c r="J90" s="14" t="inlineStr">
        <is>
          <t>Table (avg rate)</t>
        </is>
      </c>
      <c r="K90" s="15" t="inlineStr"/>
      <c r="L90" s="15" t="inlineStr"/>
      <c r="M90" s="16" t="inlineStr"/>
    </row>
    <row r="91">
      <c r="A91" s="13" t="inlineStr">
        <is>
          <t>381</t>
        </is>
      </c>
      <c r="B91" s="14" t="inlineStr">
        <is>
          <t>Lund2010_AtlantaSEER</t>
        </is>
      </c>
      <c r="C91" s="13" t="inlineStr">
        <is>
          <t>Black</t>
        </is>
      </c>
      <c r="D91" s="13" t="inlineStr">
        <is>
          <t>White (NH)</t>
        </is>
      </c>
      <c r="E91" s="13" t="inlineStr">
        <is>
          <t>subtype-HRpos-HER2neg</t>
        </is>
      </c>
      <c r="F91" s="13" t="inlineStr">
        <is>
          <t>86.7</t>
        </is>
      </c>
      <c r="G91" s="13" t="inlineStr">
        <is>
          <t>110.7</t>
        </is>
      </c>
      <c r="H91" s="13" t="inlineStr">
        <is>
          <t>0.783</t>
        </is>
      </c>
      <c r="I91" s="14" t="inlineStr">
        <is>
          <t>computed-from-rates</t>
        </is>
      </c>
      <c r="J91" s="14" t="inlineStr">
        <is>
          <t>Discussion text</t>
        </is>
      </c>
      <c r="K91" s="15" t="inlineStr"/>
      <c r="L91" s="15" t="inlineStr"/>
      <c r="M91" s="16" t="inlineStr"/>
    </row>
    <row r="92">
      <c r="A92" s="13" t="inlineStr">
        <is>
          <t>381</t>
        </is>
      </c>
      <c r="B92" s="14" t="inlineStr">
        <is>
          <t>Lund2010_AtlantaSEER</t>
        </is>
      </c>
      <c r="C92" s="13" t="inlineStr">
        <is>
          <t>Black</t>
        </is>
      </c>
      <c r="D92" s="13" t="inlineStr">
        <is>
          <t>White (NH)</t>
        </is>
      </c>
      <c r="E92" s="13" t="inlineStr">
        <is>
          <t>subtype-TNBC</t>
        </is>
      </c>
      <c r="F92" s="13" t="inlineStr">
        <is>
          <t>36.3</t>
        </is>
      </c>
      <c r="G92" s="13" t="inlineStr">
        <is>
          <t>19.4</t>
        </is>
      </c>
      <c r="H92" s="13" t="inlineStr">
        <is>
          <t>1.871</t>
        </is>
      </c>
      <c r="I92" s="14" t="inlineStr">
        <is>
          <t>computed-from-rates</t>
        </is>
      </c>
      <c r="J92" s="14" t="inlineStr">
        <is>
          <t>Discussion text</t>
        </is>
      </c>
      <c r="K92" s="15" t="inlineStr"/>
      <c r="L92" s="15" t="inlineStr"/>
      <c r="M92" s="16" t="inlineStr"/>
    </row>
    <row r="93">
      <c r="A93" s="13" t="inlineStr">
        <is>
          <t>485</t>
        </is>
      </c>
      <c r="B93" s="14" t="inlineStr">
        <is>
          <t>Harper2009_SEER</t>
        </is>
      </c>
      <c r="C93" s="13" t="inlineStr">
        <is>
          <t>Black</t>
        </is>
      </c>
      <c r="D93" s="13" t="inlineStr">
        <is>
          <t>White (NH)</t>
        </is>
      </c>
      <c r="E93" s="13" t="inlineStr">
        <is>
          <t>age-ge50</t>
        </is>
      </c>
      <c r="F93" s="13" t="inlineStr">
        <is>
          <t>313.7</t>
        </is>
      </c>
      <c r="G93" s="13" t="inlineStr">
        <is>
          <t>343.4</t>
        </is>
      </c>
      <c r="H93" s="13" t="inlineStr">
        <is>
          <t>0.914</t>
        </is>
      </c>
      <c r="I93" s="14" t="inlineStr">
        <is>
          <t>computed-from-rates</t>
        </is>
      </c>
      <c r="J93" s="14" t="inlineStr">
        <is>
          <t>Table 1 (women 50+)</t>
        </is>
      </c>
      <c r="K93" s="15" t="inlineStr"/>
      <c r="L93" s="15" t="inlineStr"/>
      <c r="M93" s="16" t="inlineStr"/>
    </row>
    <row r="94">
      <c r="A94" s="13" t="inlineStr">
        <is>
          <t>485</t>
        </is>
      </c>
      <c r="B94" s="14" t="inlineStr">
        <is>
          <t>Harper2009_SEER</t>
        </is>
      </c>
      <c r="C94" s="13" t="inlineStr">
        <is>
          <t>Asian/PI (aggregate)</t>
        </is>
      </c>
      <c r="D94" s="13" t="inlineStr">
        <is>
          <t>White (NH)</t>
        </is>
      </c>
      <c r="E94" s="13" t="inlineStr">
        <is>
          <t>age-ge50</t>
        </is>
      </c>
      <c r="F94" s="13" t="inlineStr">
        <is>
          <t>226.2</t>
        </is>
      </c>
      <c r="G94" s="13" t="inlineStr">
        <is>
          <t>343.4</t>
        </is>
      </c>
      <c r="H94" s="13" t="inlineStr">
        <is>
          <t>0.659</t>
        </is>
      </c>
      <c r="I94" s="14" t="inlineStr">
        <is>
          <t>computed-from-rates</t>
        </is>
      </c>
      <c r="J94" s="14" t="inlineStr">
        <is>
          <t>Table 1 (women 50+)</t>
        </is>
      </c>
      <c r="K94" s="15" t="inlineStr"/>
      <c r="L94" s="15" t="inlineStr"/>
      <c r="M94" s="16" t="inlineStr"/>
    </row>
    <row r="95">
      <c r="A95" s="13" t="inlineStr">
        <is>
          <t>485</t>
        </is>
      </c>
      <c r="B95" s="14" t="inlineStr">
        <is>
          <t>Harper2009_SEER</t>
        </is>
      </c>
      <c r="C95" s="13" t="inlineStr">
        <is>
          <t>AIAN</t>
        </is>
      </c>
      <c r="D95" s="13" t="inlineStr">
        <is>
          <t>White (NH)</t>
        </is>
      </c>
      <c r="E95" s="13" t="inlineStr">
        <is>
          <t>age-ge50</t>
        </is>
      </c>
      <c r="F95" s="13" t="inlineStr">
        <is>
          <t>222.1</t>
        </is>
      </c>
      <c r="G95" s="13" t="inlineStr">
        <is>
          <t>343.4</t>
        </is>
      </c>
      <c r="H95" s="13" t="inlineStr">
        <is>
          <t>0.647</t>
        </is>
      </c>
      <c r="I95" s="14" t="inlineStr">
        <is>
          <t>computed-from-rates</t>
        </is>
      </c>
      <c r="J95" s="14" t="inlineStr">
        <is>
          <t>Table 1 (women 50+)</t>
        </is>
      </c>
      <c r="K95" s="15" t="inlineStr"/>
      <c r="L95" s="15" t="inlineStr"/>
      <c r="M95" s="16" t="inlineStr"/>
    </row>
    <row r="96">
      <c r="A96" s="13" t="inlineStr">
        <is>
          <t>485</t>
        </is>
      </c>
      <c r="B96" s="14" t="inlineStr">
        <is>
          <t>Harper2009_SEER</t>
        </is>
      </c>
      <c r="C96" s="13" t="inlineStr">
        <is>
          <t>Hispanic</t>
        </is>
      </c>
      <c r="D96" s="13" t="inlineStr">
        <is>
          <t>White (NH)</t>
        </is>
      </c>
      <c r="E96" s="13" t="inlineStr">
        <is>
          <t>age-ge50</t>
        </is>
      </c>
      <c r="F96" s="13" t="inlineStr">
        <is>
          <t>226.8</t>
        </is>
      </c>
      <c r="G96" s="13" t="inlineStr">
        <is>
          <t>343.4</t>
        </is>
      </c>
      <c r="H96" s="13" t="inlineStr">
        <is>
          <t>0.660</t>
        </is>
      </c>
      <c r="I96" s="14" t="inlineStr">
        <is>
          <t>computed-from-rates</t>
        </is>
      </c>
      <c r="J96" s="14" t="inlineStr">
        <is>
          <t>Table 1 (women 50+)</t>
        </is>
      </c>
      <c r="K96" s="15" t="inlineStr"/>
      <c r="L96" s="15" t="inlineStr"/>
      <c r="M96" s="16" t="inlineStr"/>
    </row>
    <row r="97">
      <c r="A97" s="13" t="inlineStr">
        <is>
          <t>66</t>
        </is>
      </c>
      <c r="B97" s="14" t="inlineStr">
        <is>
          <t>Hendrick2021_SEER9</t>
        </is>
      </c>
      <c r="C97" s="13" t="inlineStr">
        <is>
          <t>Black</t>
        </is>
      </c>
      <c r="D97" s="13" t="inlineStr">
        <is>
          <t>NHW</t>
        </is>
      </c>
      <c r="E97" s="13" t="inlineStr">
        <is>
          <t>aggregate-vs-NHW</t>
        </is>
      </c>
      <c r="F97" s="13" t="inlineStr"/>
      <c r="G97" s="13" t="inlineStr"/>
      <c r="H97" s="13" t="inlineStr">
        <is>
          <t>0.97 [0.95, 1.0]</t>
        </is>
      </c>
      <c r="I97" s="14" t="inlineStr">
        <is>
          <t>directly-reported-IRR</t>
        </is>
      </c>
      <c r="J97" s="14" t="inlineStr">
        <is>
          <t>Table (women 40-75)</t>
        </is>
      </c>
      <c r="K97" s="15" t="inlineStr"/>
      <c r="L97" s="15" t="inlineStr"/>
      <c r="M97" s="16" t="inlineStr"/>
    </row>
    <row r="98">
      <c r="A98" s="13" t="inlineStr">
        <is>
          <t>66</t>
        </is>
      </c>
      <c r="B98" s="14" t="inlineStr">
        <is>
          <t>Hendrick2021_SEER9</t>
        </is>
      </c>
      <c r="C98" s="13" t="inlineStr">
        <is>
          <t>Asian/PI (aggregate)</t>
        </is>
      </c>
      <c r="D98" s="13" t="inlineStr">
        <is>
          <t>NHW</t>
        </is>
      </c>
      <c r="E98" s="13" t="inlineStr">
        <is>
          <t>aggregate-vs-NHW</t>
        </is>
      </c>
      <c r="F98" s="13" t="inlineStr"/>
      <c r="G98" s="13" t="inlineStr"/>
      <c r="H98" s="13" t="inlineStr">
        <is>
          <t>0.92 [0.9, 0.95]</t>
        </is>
      </c>
      <c r="I98" s="14" t="inlineStr">
        <is>
          <t>directly-reported-IRR</t>
        </is>
      </c>
      <c r="J98" s="14" t="inlineStr">
        <is>
          <t>Table (women 40-75)</t>
        </is>
      </c>
      <c r="K98" s="15" t="inlineStr"/>
      <c r="L98" s="15" t="inlineStr"/>
      <c r="M98" s="16" t="inlineStr"/>
    </row>
    <row r="99">
      <c r="A99" s="13" t="inlineStr">
        <is>
          <t>66</t>
        </is>
      </c>
      <c r="B99" s="14" t="inlineStr">
        <is>
          <t>Hendrick2021_SEER9</t>
        </is>
      </c>
      <c r="C99" s="13" t="inlineStr">
        <is>
          <t>AIAN</t>
        </is>
      </c>
      <c r="D99" s="13" t="inlineStr">
        <is>
          <t>NHW</t>
        </is>
      </c>
      <c r="E99" s="13" t="inlineStr">
        <is>
          <t>aggregate-vs-NHW</t>
        </is>
      </c>
      <c r="F99" s="13" t="inlineStr"/>
      <c r="G99" s="13" t="inlineStr"/>
      <c r="H99" s="13" t="inlineStr">
        <is>
          <t>0.58 [0.52, 0.65]</t>
        </is>
      </c>
      <c r="I99" s="14" t="inlineStr">
        <is>
          <t>directly-reported-IRR</t>
        </is>
      </c>
      <c r="J99" s="14" t="inlineStr">
        <is>
          <t>Table (women 40-75)</t>
        </is>
      </c>
      <c r="K99" s="15" t="inlineStr"/>
      <c r="L99" s="15" t="inlineStr"/>
      <c r="M99" s="16" t="inlineStr"/>
    </row>
    <row r="100">
      <c r="A100" s="13" t="inlineStr">
        <is>
          <t>66</t>
        </is>
      </c>
      <c r="B100" s="14" t="inlineStr">
        <is>
          <t>Hendrick2021_SEER9</t>
        </is>
      </c>
      <c r="C100" s="13" t="inlineStr">
        <is>
          <t>Hispanic</t>
        </is>
      </c>
      <c r="D100" s="13" t="inlineStr">
        <is>
          <t>NHW</t>
        </is>
      </c>
      <c r="E100" s="13" t="inlineStr">
        <is>
          <t>aggregate-vs-NHW</t>
        </is>
      </c>
      <c r="F100" s="13" t="inlineStr"/>
      <c r="G100" s="13" t="inlineStr"/>
      <c r="H100" s="13" t="inlineStr">
        <is>
          <t>0.75 [0.73, 0.76]</t>
        </is>
      </c>
      <c r="I100" s="14" t="inlineStr">
        <is>
          <t>directly-reported-IRR</t>
        </is>
      </c>
      <c r="J100" s="14" t="inlineStr">
        <is>
          <t>Table (women 40-75)</t>
        </is>
      </c>
      <c r="K100" s="15" t="inlineStr"/>
      <c r="L100" s="15" t="inlineStr"/>
      <c r="M100" s="16" t="inlineStr"/>
    </row>
    <row r="101">
      <c r="A101" s="13" t="inlineStr">
        <is>
          <t>2</t>
        </is>
      </c>
      <c r="B101" s="14" t="inlineStr">
        <is>
          <t>Howlader2014_SEER18</t>
        </is>
      </c>
      <c r="C101" s="13" t="inlineStr">
        <is>
          <t>Black</t>
        </is>
      </c>
      <c r="D101" s="13" t="inlineStr">
        <is>
          <t>NHW</t>
        </is>
      </c>
      <c r="E101" s="13" t="inlineStr">
        <is>
          <t>subtype-HRpos-HER2neg</t>
        </is>
      </c>
      <c r="F101" s="13" t="inlineStr">
        <is>
          <t>93.3</t>
        </is>
      </c>
      <c r="G101" s="13" t="inlineStr">
        <is>
          <t>126.7</t>
        </is>
      </c>
      <c r="H101" s="13" t="inlineStr">
        <is>
          <t>0.739 [0.712, 0.768]</t>
        </is>
      </c>
      <c r="I101" s="14" t="inlineStr">
        <is>
          <t>computed-from-rates-with-CI</t>
        </is>
      </c>
      <c r="J101" s="14" t="inlineStr">
        <is>
          <t>Suppl Table 3 (age-std by me from age-specific rates, 2000 US std)</t>
        </is>
      </c>
      <c r="K101" s="15" t="inlineStr"/>
      <c r="L101" s="15" t="inlineStr"/>
      <c r="M101" s="16" t="inlineStr"/>
    </row>
    <row r="102">
      <c r="A102" s="13" t="inlineStr">
        <is>
          <t>2</t>
        </is>
      </c>
      <c r="B102" s="14" t="inlineStr">
        <is>
          <t>Howlader2014_SEER18</t>
        </is>
      </c>
      <c r="C102" s="13" t="inlineStr">
        <is>
          <t>Asian/PI (aggregate)</t>
        </is>
      </c>
      <c r="D102" s="13" t="inlineStr">
        <is>
          <t>NHW</t>
        </is>
      </c>
      <c r="E102" s="13" t="inlineStr">
        <is>
          <t>subtype-HRpos-HER2neg</t>
        </is>
      </c>
      <c r="F102" s="13" t="inlineStr">
        <is>
          <t>86.5</t>
        </is>
      </c>
      <c r="G102" s="13" t="inlineStr">
        <is>
          <t>126.7</t>
        </is>
      </c>
      <c r="H102" s="13" t="inlineStr">
        <is>
          <t>0.689 [0.662, 0.717]</t>
        </is>
      </c>
      <c r="I102" s="14" t="inlineStr">
        <is>
          <t>computed-from-rates-with-CI</t>
        </is>
      </c>
      <c r="J102" s="14" t="inlineStr">
        <is>
          <t>Suppl Table 3 (age-std by me from age-specific rates, 2000 US std)</t>
        </is>
      </c>
      <c r="K102" s="15" t="inlineStr"/>
      <c r="L102" s="15" t="inlineStr"/>
      <c r="M102" s="16" t="inlineStr"/>
    </row>
    <row r="103">
      <c r="A103" s="13" t="inlineStr">
        <is>
          <t>2</t>
        </is>
      </c>
      <c r="B103" s="14" t="inlineStr">
        <is>
          <t>Howlader2014_SEER18</t>
        </is>
      </c>
      <c r="C103" s="13" t="inlineStr">
        <is>
          <t>Hispanic</t>
        </is>
      </c>
      <c r="D103" s="13" t="inlineStr">
        <is>
          <t>NHW</t>
        </is>
      </c>
      <c r="E103" s="13" t="inlineStr">
        <is>
          <t>subtype-HRpos-HER2neg</t>
        </is>
      </c>
      <c r="F103" s="13" t="inlineStr">
        <is>
          <t>76.4</t>
        </is>
      </c>
      <c r="G103" s="13" t="inlineStr">
        <is>
          <t>126.7</t>
        </is>
      </c>
      <c r="H103" s="13" t="inlineStr">
        <is>
          <t>0.604 [0.581, 0.627]</t>
        </is>
      </c>
      <c r="I103" s="14" t="inlineStr">
        <is>
          <t>computed-from-rates-with-CI</t>
        </is>
      </c>
      <c r="J103" s="14" t="inlineStr">
        <is>
          <t>Suppl Table 3 (age-std by me from age-specific rates, 2000 US std)</t>
        </is>
      </c>
      <c r="K103" s="15" t="inlineStr"/>
      <c r="L103" s="15" t="inlineStr"/>
      <c r="M103" s="16" t="inlineStr"/>
    </row>
    <row r="104">
      <c r="A104" s="13" t="inlineStr">
        <is>
          <t>2</t>
        </is>
      </c>
      <c r="B104" s="14" t="inlineStr">
        <is>
          <t>Howlader2014_SEER18</t>
        </is>
      </c>
      <c r="C104" s="13" t="inlineStr">
        <is>
          <t>Black</t>
        </is>
      </c>
      <c r="D104" s="13" t="inlineStr">
        <is>
          <t>NHW</t>
        </is>
      </c>
      <c r="E104" s="13" t="inlineStr">
        <is>
          <t>subtype-TNBC</t>
        </is>
      </c>
      <c r="F104" s="13" t="inlineStr">
        <is>
          <t>33.3</t>
        </is>
      </c>
      <c r="G104" s="13" t="inlineStr">
        <is>
          <t>18.3</t>
        </is>
      </c>
      <c r="H104" s="13" t="inlineStr">
        <is>
          <t>1.817 [1.697, 1.946]</t>
        </is>
      </c>
      <c r="I104" s="14" t="inlineStr">
        <is>
          <t>computed-from-rates-with-CI</t>
        </is>
      </c>
      <c r="J104" s="14" t="inlineStr">
        <is>
          <t>Suppl Table 3 (age-std by me from age-specific rates, 2000 US std)</t>
        </is>
      </c>
      <c r="K104" s="15" t="inlineStr"/>
      <c r="L104" s="15" t="inlineStr"/>
      <c r="M104" s="16" t="inlineStr"/>
    </row>
    <row r="105">
      <c r="A105" s="13" t="inlineStr">
        <is>
          <t>2</t>
        </is>
      </c>
      <c r="B105" s="14" t="inlineStr">
        <is>
          <t>Howlader2014_SEER18</t>
        </is>
      </c>
      <c r="C105" s="13" t="inlineStr">
        <is>
          <t>Asian/PI (aggregate)</t>
        </is>
      </c>
      <c r="D105" s="13" t="inlineStr">
        <is>
          <t>NHW</t>
        </is>
      </c>
      <c r="E105" s="13" t="inlineStr">
        <is>
          <t>subtype-TNBC</t>
        </is>
      </c>
      <c r="F105" s="13" t="inlineStr">
        <is>
          <t>11.6</t>
        </is>
      </c>
      <c r="G105" s="13" t="inlineStr">
        <is>
          <t>18.3</t>
        </is>
      </c>
      <c r="H105" s="13" t="inlineStr">
        <is>
          <t>0.640 [0.572, 0.716]</t>
        </is>
      </c>
      <c r="I105" s="14" t="inlineStr">
        <is>
          <t>computed-from-rates-with-CI</t>
        </is>
      </c>
      <c r="J105" s="14" t="inlineStr">
        <is>
          <t>Suppl Table 3 (age-std by me from age-specific rates, 2000 US std)</t>
        </is>
      </c>
      <c r="K105" s="15" t="inlineStr"/>
      <c r="L105" s="15" t="inlineStr"/>
      <c r="M105" s="16" t="inlineStr"/>
    </row>
    <row r="106">
      <c r="A106" s="13" t="inlineStr">
        <is>
          <t>2</t>
        </is>
      </c>
      <c r="B106" s="14" t="inlineStr">
        <is>
          <t>Howlader2014_SEER18</t>
        </is>
      </c>
      <c r="C106" s="13" t="inlineStr">
        <is>
          <t>Hispanic</t>
        </is>
      </c>
      <c r="D106" s="13" t="inlineStr">
        <is>
          <t>NHW</t>
        </is>
      </c>
      <c r="E106" s="13" t="inlineStr">
        <is>
          <t>subtype-TNBC</t>
        </is>
      </c>
      <c r="F106" s="13" t="inlineStr">
        <is>
          <t>15.0</t>
        </is>
      </c>
      <c r="G106" s="13" t="inlineStr">
        <is>
          <t>18.3</t>
        </is>
      </c>
      <c r="H106" s="13" t="inlineStr">
        <is>
          <t>0.824 [0.756, 0.897]</t>
        </is>
      </c>
      <c r="I106" s="14" t="inlineStr">
        <is>
          <t>computed-from-rates-with-CI</t>
        </is>
      </c>
      <c r="J106" s="14" t="inlineStr">
        <is>
          <t>Suppl Table 3 (age-std by me from age-specific rates, 2000 US std)</t>
        </is>
      </c>
      <c r="K106" s="15" t="inlineStr"/>
      <c r="L106" s="15" t="inlineStr"/>
      <c r="M106" s="16" t="inlineStr"/>
    </row>
    <row r="107">
      <c r="A107" s="13" t="inlineStr">
        <is>
          <t>2</t>
        </is>
      </c>
      <c r="B107" s="14" t="inlineStr">
        <is>
          <t>Howlader2014_SEER18</t>
        </is>
      </c>
      <c r="C107" s="13" t="inlineStr">
        <is>
          <t>Black</t>
        </is>
      </c>
      <c r="D107" s="13" t="inlineStr">
        <is>
          <t>NHW</t>
        </is>
      </c>
      <c r="E107" s="13" t="inlineStr">
        <is>
          <t>subtype-HRpos-HER2pos</t>
        </is>
      </c>
      <c r="F107" s="13" t="inlineStr">
        <is>
          <t>17.2</t>
        </is>
      </c>
      <c r="G107" s="13" t="inlineStr">
        <is>
          <t>17.0</t>
        </is>
      </c>
      <c r="H107" s="13" t="inlineStr">
        <is>
          <t>1.004 [0.916, 1.101]</t>
        </is>
      </c>
      <c r="I107" s="14" t="inlineStr">
        <is>
          <t>computed-from-rates-with-CI</t>
        </is>
      </c>
      <c r="J107" s="14" t="inlineStr">
        <is>
          <t>Suppl Table 3 (age-std by me from age-specific rates, 2000 US std)</t>
        </is>
      </c>
      <c r="K107" s="15" t="inlineStr"/>
      <c r="L107" s="15" t="inlineStr"/>
      <c r="M107" s="16" t="inlineStr"/>
    </row>
    <row r="108">
      <c r="A108" s="13" t="inlineStr">
        <is>
          <t>2</t>
        </is>
      </c>
      <c r="B108" s="14" t="inlineStr">
        <is>
          <t>Howlader2014_SEER18</t>
        </is>
      </c>
      <c r="C108" s="13" t="inlineStr">
        <is>
          <t>Asian/PI (aggregate)</t>
        </is>
      </c>
      <c r="D108" s="13" t="inlineStr">
        <is>
          <t>NHW</t>
        </is>
      </c>
      <c r="E108" s="13" t="inlineStr">
        <is>
          <t>subtype-HRpos-HER2pos</t>
        </is>
      </c>
      <c r="F108" s="13" t="inlineStr">
        <is>
          <t>14.3</t>
        </is>
      </c>
      <c r="G108" s="13" t="inlineStr">
        <is>
          <t>17.0</t>
        </is>
      </c>
      <c r="H108" s="13" t="inlineStr">
        <is>
          <t>0.850 [0.768, 0.941]</t>
        </is>
      </c>
      <c r="I108" s="14" t="inlineStr">
        <is>
          <t>computed-from-rates-with-CI</t>
        </is>
      </c>
      <c r="J108" s="14" t="inlineStr">
        <is>
          <t>Suppl Table 3 (age-std by me from age-specific rates, 2000 US std)</t>
        </is>
      </c>
      <c r="K108" s="15" t="inlineStr"/>
      <c r="L108" s="15" t="inlineStr"/>
      <c r="M108" s="16" t="inlineStr"/>
    </row>
    <row r="109">
      <c r="A109" s="13" t="inlineStr">
        <is>
          <t>2</t>
        </is>
      </c>
      <c r="B109" s="14" t="inlineStr">
        <is>
          <t>Howlader2014_SEER18</t>
        </is>
      </c>
      <c r="C109" s="13" t="inlineStr">
        <is>
          <t>Hispanic</t>
        </is>
      </c>
      <c r="D109" s="13" t="inlineStr">
        <is>
          <t>NHW</t>
        </is>
      </c>
      <c r="E109" s="13" t="inlineStr">
        <is>
          <t>subtype-HRpos-HER2pos</t>
        </is>
      </c>
      <c r="F109" s="13" t="inlineStr">
        <is>
          <t>11.8</t>
        </is>
      </c>
      <c r="G109" s="13" t="inlineStr">
        <is>
          <t>17.0</t>
        </is>
      </c>
      <c r="H109" s="13" t="inlineStr">
        <is>
          <t>0.687 [0.625, 0.756]</t>
        </is>
      </c>
      <c r="I109" s="14" t="inlineStr">
        <is>
          <t>computed-from-rates-with-CI</t>
        </is>
      </c>
      <c r="J109" s="14" t="inlineStr">
        <is>
          <t>Suppl Table 3 (age-std by me from age-specific rates, 2000 US std)</t>
        </is>
      </c>
      <c r="K109" s="15" t="inlineStr"/>
      <c r="L109" s="15" t="inlineStr"/>
      <c r="M109" s="16" t="inlineStr"/>
    </row>
    <row r="110">
      <c r="A110" s="13" t="inlineStr">
        <is>
          <t>286</t>
        </is>
      </c>
      <c r="B110" s="14" t="inlineStr">
        <is>
          <t>Kong2020_SEER18</t>
        </is>
      </c>
      <c r="C110" s="13" t="inlineStr">
        <is>
          <t>Black</t>
        </is>
      </c>
      <c r="D110" s="13" t="inlineStr">
        <is>
          <t>NHW</t>
        </is>
      </c>
      <c r="E110" s="13" t="inlineStr">
        <is>
          <t>subtype-HRpos-HER2pos</t>
        </is>
      </c>
      <c r="F110" s="13" t="inlineStr"/>
      <c r="G110" s="13" t="inlineStr"/>
      <c r="H110" s="13" t="inlineStr">
        <is>
          <t>1.12 [1.08, 1.16]</t>
        </is>
      </c>
      <c r="I110" s="14" t="inlineStr">
        <is>
          <t>directly-reported-IRR</t>
        </is>
      </c>
      <c r="J110" s="14" t="inlineStr">
        <is>
          <t>Results text</t>
        </is>
      </c>
      <c r="K110" s="15" t="inlineStr"/>
      <c r="L110" s="15" t="inlineStr"/>
      <c r="M110" s="16" t="inlineStr"/>
    </row>
    <row r="111">
      <c r="A111" s="13" t="inlineStr">
        <is>
          <t>286</t>
        </is>
      </c>
      <c r="B111" s="14" t="inlineStr">
        <is>
          <t>Kong2020_SEER18</t>
        </is>
      </c>
      <c r="C111" s="13" t="inlineStr">
        <is>
          <t>Black</t>
        </is>
      </c>
      <c r="D111" s="13" t="inlineStr">
        <is>
          <t>NHW</t>
        </is>
      </c>
      <c r="E111" s="13" t="inlineStr">
        <is>
          <t>subtype-HRneg-HER2pos</t>
        </is>
      </c>
      <c r="F111" s="13" t="inlineStr"/>
      <c r="G111" s="13" t="inlineStr"/>
      <c r="H111" s="13" t="inlineStr">
        <is>
          <t>1.46 [1.38, 1.54]</t>
        </is>
      </c>
      <c r="I111" s="14" t="inlineStr">
        <is>
          <t>directly-reported-IRR</t>
        </is>
      </c>
      <c r="J111" s="14" t="inlineStr">
        <is>
          <t>Results text</t>
        </is>
      </c>
      <c r="K111" s="15" t="inlineStr"/>
      <c r="L111" s="15" t="inlineStr"/>
      <c r="M111" s="16" t="inlineStr"/>
    </row>
    <row r="112">
      <c r="A112" s="13" t="inlineStr">
        <is>
          <t>286</t>
        </is>
      </c>
      <c r="B112" s="14" t="inlineStr">
        <is>
          <t>Kong2020_SEER18</t>
        </is>
      </c>
      <c r="C112" s="13" t="inlineStr">
        <is>
          <t>Black</t>
        </is>
      </c>
      <c r="D112" s="13" t="inlineStr">
        <is>
          <t>NHW</t>
        </is>
      </c>
      <c r="E112" s="13" t="inlineStr">
        <is>
          <t>subtype-TNBC</t>
        </is>
      </c>
      <c r="F112" s="13" t="inlineStr"/>
      <c r="G112" s="13" t="inlineStr"/>
      <c r="H112" s="13" t="inlineStr">
        <is>
          <t>2.07 [2.01, 2.14]</t>
        </is>
      </c>
      <c r="I112" s="14" t="inlineStr">
        <is>
          <t>directly-reported-IRR</t>
        </is>
      </c>
      <c r="J112" s="14" t="inlineStr">
        <is>
          <t>Results text</t>
        </is>
      </c>
      <c r="K112" s="15" t="inlineStr"/>
      <c r="L112" s="15" t="inlineStr"/>
      <c r="M112" s="16" t="inlineStr"/>
    </row>
    <row r="113">
      <c r="A113" s="13" t="inlineStr">
        <is>
          <t>286</t>
        </is>
      </c>
      <c r="B113" s="14" t="inlineStr">
        <is>
          <t>Kong2020_SEER18</t>
        </is>
      </c>
      <c r="C113" s="13" t="inlineStr">
        <is>
          <t>Black</t>
        </is>
      </c>
      <c r="D113" s="13" t="inlineStr">
        <is>
          <t>NHW</t>
        </is>
      </c>
      <c r="E113" s="13" t="inlineStr">
        <is>
          <t>subtype-HRpos-HER2neg</t>
        </is>
      </c>
      <c r="F113" s="13" t="inlineStr"/>
      <c r="G113" s="13" t="inlineStr"/>
      <c r="H113" s="13" t="inlineStr">
        <is>
          <t>0.86 [0.84, 0.87]</t>
        </is>
      </c>
      <c r="I113" s="14" t="inlineStr">
        <is>
          <t>directly-reported-IRR</t>
        </is>
      </c>
      <c r="J113" s="14" t="inlineStr">
        <is>
          <t>Results text</t>
        </is>
      </c>
      <c r="K113" s="15" t="inlineStr"/>
      <c r="L113" s="15" t="inlineStr"/>
      <c r="M113" s="16" t="inlineStr"/>
    </row>
    <row r="114">
      <c r="A114" s="13" t="inlineStr">
        <is>
          <t>286</t>
        </is>
      </c>
      <c r="B114" s="14" t="inlineStr">
        <is>
          <t>Kong2020_SEER18</t>
        </is>
      </c>
      <c r="C114" s="13" t="inlineStr">
        <is>
          <t>Asian/PI (aggregate)</t>
        </is>
      </c>
      <c r="D114" s="13" t="inlineStr">
        <is>
          <t>NHW</t>
        </is>
      </c>
      <c r="E114" s="13" t="inlineStr">
        <is>
          <t>subtype-HRneg-HER2pos</t>
        </is>
      </c>
      <c r="F114" s="13" t="inlineStr"/>
      <c r="G114" s="13" t="inlineStr"/>
      <c r="H114" s="13" t="inlineStr">
        <is>
          <t>1.41 [1.33, 1.49]</t>
        </is>
      </c>
      <c r="I114" s="14" t="inlineStr">
        <is>
          <t>directly-reported-IRR</t>
        </is>
      </c>
      <c r="J114" s="14" t="inlineStr">
        <is>
          <t>Results text</t>
        </is>
      </c>
      <c r="K114" s="15" t="inlineStr"/>
      <c r="L114" s="15" t="inlineStr"/>
      <c r="M114" s="16" t="inlineStr"/>
    </row>
    <row r="115">
      <c r="A115" s="13" t="inlineStr">
        <is>
          <t>286</t>
        </is>
      </c>
      <c r="B115" s="14" t="inlineStr">
        <is>
          <t>Kong2020_SEER18</t>
        </is>
      </c>
      <c r="C115" s="13" t="inlineStr">
        <is>
          <t>Asian/PI (aggregate)</t>
        </is>
      </c>
      <c r="D115" s="13" t="inlineStr">
        <is>
          <t>NHW</t>
        </is>
      </c>
      <c r="E115" s="13" t="inlineStr">
        <is>
          <t>subtype-HRpos-HER2neg</t>
        </is>
      </c>
      <c r="F115" s="13" t="inlineStr"/>
      <c r="G115" s="13" t="inlineStr"/>
      <c r="H115" s="13" t="inlineStr">
        <is>
          <t>0.87 [0.85, 0.88]</t>
        </is>
      </c>
      <c r="I115" s="14" t="inlineStr">
        <is>
          <t>directly-reported-IRR</t>
        </is>
      </c>
      <c r="J115" s="14" t="inlineStr">
        <is>
          <t>Results text</t>
        </is>
      </c>
      <c r="K115" s="15" t="inlineStr"/>
      <c r="L115" s="15" t="inlineStr"/>
      <c r="M115" s="16" t="inlineStr"/>
    </row>
    <row r="116">
      <c r="A116" s="13" t="inlineStr">
        <is>
          <t>286</t>
        </is>
      </c>
      <c r="B116" s="14" t="inlineStr">
        <is>
          <t>Kong2020_SEER18</t>
        </is>
      </c>
      <c r="C116" s="13" t="inlineStr">
        <is>
          <t>Asian/PI (aggregate)</t>
        </is>
      </c>
      <c r="D116" s="13" t="inlineStr">
        <is>
          <t>NHW</t>
        </is>
      </c>
      <c r="E116" s="13" t="inlineStr">
        <is>
          <t>subtype-TNBC</t>
        </is>
      </c>
      <c r="F116" s="13" t="inlineStr"/>
      <c r="G116" s="13" t="inlineStr"/>
      <c r="H116" s="13" t="inlineStr">
        <is>
          <t>0.79 [0.75, 0.83]</t>
        </is>
      </c>
      <c r="I116" s="14" t="inlineStr">
        <is>
          <t>directly-reported-IRR</t>
        </is>
      </c>
      <c r="J116" s="14" t="inlineStr">
        <is>
          <t>Results text</t>
        </is>
      </c>
      <c r="K116" s="15" t="inlineStr"/>
      <c r="L116" s="15" t="inlineStr"/>
      <c r="M116" s="16" t="inlineStr"/>
    </row>
    <row r="117">
      <c r="A117" s="13" t="inlineStr">
        <is>
          <t>286</t>
        </is>
      </c>
      <c r="B117" s="14" t="inlineStr">
        <is>
          <t>Kong2020_SEER18</t>
        </is>
      </c>
      <c r="C117" s="13" t="inlineStr">
        <is>
          <t>Hispanic</t>
        </is>
      </c>
      <c r="D117" s="13" t="inlineStr">
        <is>
          <t>NHW</t>
        </is>
      </c>
      <c r="E117" s="13" t="inlineStr">
        <is>
          <t>subtype-HRpos-HER2neg</t>
        </is>
      </c>
      <c r="F117" s="13" t="inlineStr"/>
      <c r="G117" s="13" t="inlineStr"/>
      <c r="H117" s="13" t="inlineStr">
        <is>
          <t>0.78 [0.76, 0.79]</t>
        </is>
      </c>
      <c r="I117" s="14" t="inlineStr">
        <is>
          <t>directly-reported-IRR</t>
        </is>
      </c>
      <c r="J117" s="14" t="inlineStr">
        <is>
          <t>Results text</t>
        </is>
      </c>
      <c r="K117" s="15" t="inlineStr"/>
      <c r="L117" s="15" t="inlineStr"/>
      <c r="M117" s="16" t="inlineStr"/>
    </row>
    <row r="118">
      <c r="A118" s="13" t="inlineStr">
        <is>
          <t>286</t>
        </is>
      </c>
      <c r="B118" s="14" t="inlineStr">
        <is>
          <t>Kong2020_SEER18</t>
        </is>
      </c>
      <c r="C118" s="13" t="inlineStr">
        <is>
          <t>Hispanic</t>
        </is>
      </c>
      <c r="D118" s="13" t="inlineStr">
        <is>
          <t>NHW</t>
        </is>
      </c>
      <c r="E118" s="13" t="inlineStr">
        <is>
          <t>subtype-HRpos-HER2pos</t>
        </is>
      </c>
      <c r="F118" s="13" t="inlineStr"/>
      <c r="G118" s="13" t="inlineStr"/>
      <c r="H118" s="13" t="inlineStr">
        <is>
          <t>0.91 [0.88, 0.94]</t>
        </is>
      </c>
      <c r="I118" s="14" t="inlineStr">
        <is>
          <t>directly-reported-IRR</t>
        </is>
      </c>
      <c r="J118" s="14" t="inlineStr">
        <is>
          <t>Results text</t>
        </is>
      </c>
      <c r="K118" s="15" t="inlineStr"/>
      <c r="L118" s="15" t="inlineStr"/>
      <c r="M118" s="16" t="inlineStr"/>
    </row>
    <row r="119">
      <c r="A119" s="13" t="inlineStr">
        <is>
          <t>286</t>
        </is>
      </c>
      <c r="B119" s="14" t="inlineStr">
        <is>
          <t>Kong2020_SEER18</t>
        </is>
      </c>
      <c r="C119" s="13" t="inlineStr">
        <is>
          <t>Hispanic</t>
        </is>
      </c>
      <c r="D119" s="13" t="inlineStr">
        <is>
          <t>NHW</t>
        </is>
      </c>
      <c r="E119" s="13" t="inlineStr">
        <is>
          <t>subtype-TNBC</t>
        </is>
      </c>
      <c r="F119" s="13" t="inlineStr"/>
      <c r="G119" s="13" t="inlineStr"/>
      <c r="H119" s="13" t="inlineStr">
        <is>
          <t>0.94 [0.91, 0.98]</t>
        </is>
      </c>
      <c r="I119" s="14" t="inlineStr">
        <is>
          <t>directly-reported-IRR</t>
        </is>
      </c>
      <c r="J119" s="14" t="inlineStr">
        <is>
          <t>Results text</t>
        </is>
      </c>
      <c r="K119" s="15" t="inlineStr"/>
      <c r="L119" s="15" t="inlineStr"/>
      <c r="M119" s="16" t="inlineStr"/>
    </row>
    <row r="120">
      <c r="A120" s="13" t="inlineStr">
        <is>
          <t>100</t>
        </is>
      </c>
      <c r="B120" s="14" t="inlineStr">
        <is>
          <t>Liu2012_LACounty</t>
        </is>
      </c>
      <c r="C120" s="13" t="inlineStr">
        <is>
          <t>Chinese</t>
        </is>
      </c>
      <c r="D120" s="13" t="inlineStr">
        <is>
          <t>NHW</t>
        </is>
      </c>
      <c r="E120" s="13" t="inlineStr">
        <is>
          <t>disaggregated-AANHPI</t>
        </is>
      </c>
      <c r="F120" s="13" t="inlineStr">
        <is>
          <t>83.9</t>
        </is>
      </c>
      <c r="G120" s="13" t="inlineStr">
        <is>
          <t>145.8</t>
        </is>
      </c>
      <c r="H120" s="13" t="inlineStr">
        <is>
          <t>0.575</t>
        </is>
      </c>
      <c r="I120" s="14" t="inlineStr">
        <is>
          <t>directly-reported-rate</t>
        </is>
      </c>
      <c r="J120" s="14" t="inlineStr">
        <is>
          <t>text (overall AAIR 2007)</t>
        </is>
      </c>
      <c r="K120" s="15" t="inlineStr"/>
      <c r="L120" s="15" t="inlineStr"/>
      <c r="M120" s="16" t="inlineStr"/>
    </row>
    <row r="121">
      <c r="A121" s="13" t="inlineStr">
        <is>
          <t>100</t>
        </is>
      </c>
      <c r="B121" s="14" t="inlineStr">
        <is>
          <t>Liu2012_LACounty</t>
        </is>
      </c>
      <c r="C121" s="13" t="inlineStr">
        <is>
          <t>Korean</t>
        </is>
      </c>
      <c r="D121" s="13" t="inlineStr">
        <is>
          <t>NHW</t>
        </is>
      </c>
      <c r="E121" s="13" t="inlineStr">
        <is>
          <t>disaggregated-AANHPI</t>
        </is>
      </c>
      <c r="F121" s="13" t="inlineStr">
        <is>
          <t>81.3</t>
        </is>
      </c>
      <c r="G121" s="13" t="inlineStr">
        <is>
          <t>145.8</t>
        </is>
      </c>
      <c r="H121" s="13" t="inlineStr">
        <is>
          <t>0.558</t>
        </is>
      </c>
      <c r="I121" s="14" t="inlineStr">
        <is>
          <t>directly-reported-rate</t>
        </is>
      </c>
      <c r="J121" s="14" t="inlineStr">
        <is>
          <t>text (overall AAIR 2007)</t>
        </is>
      </c>
      <c r="K121" s="15" t="inlineStr"/>
      <c r="L121" s="15" t="inlineStr"/>
      <c r="M121" s="16" t="inlineStr"/>
    </row>
    <row r="122">
      <c r="A122" s="13" t="inlineStr">
        <is>
          <t>100</t>
        </is>
      </c>
      <c r="B122" s="14" t="inlineStr">
        <is>
          <t>Liu2012_LACounty</t>
        </is>
      </c>
      <c r="C122" s="13" t="inlineStr">
        <is>
          <t>Black</t>
        </is>
      </c>
      <c r="D122" s="13" t="inlineStr">
        <is>
          <t>NHW</t>
        </is>
      </c>
      <c r="E122" s="13" t="inlineStr">
        <is>
          <t>aggregate-vs-NHW</t>
        </is>
      </c>
      <c r="F122" s="13" t="inlineStr">
        <is>
          <t>125.2</t>
        </is>
      </c>
      <c r="G122" s="13" t="inlineStr">
        <is>
          <t>145.8</t>
        </is>
      </c>
      <c r="H122" s="13" t="inlineStr">
        <is>
          <t>0.859</t>
        </is>
      </c>
      <c r="I122" s="14" t="inlineStr">
        <is>
          <t>directly-reported-rate</t>
        </is>
      </c>
      <c r="J122" s="14" t="inlineStr">
        <is>
          <t>text (overall AAIR 2007)</t>
        </is>
      </c>
      <c r="K122" s="15" t="inlineStr"/>
      <c r="L122" s="15" t="inlineStr"/>
      <c r="M122" s="16" t="inlineStr"/>
    </row>
    <row r="123">
      <c r="A123" s="13" t="inlineStr">
        <is>
          <t>100</t>
        </is>
      </c>
      <c r="B123" s="14" t="inlineStr">
        <is>
          <t>Liu2012_LACounty</t>
        </is>
      </c>
      <c r="C123" s="13" t="inlineStr">
        <is>
          <t>Hispanic</t>
        </is>
      </c>
      <c r="D123" s="13" t="inlineStr">
        <is>
          <t>NHW</t>
        </is>
      </c>
      <c r="E123" s="13" t="inlineStr">
        <is>
          <t>aggregate-vs-NHW</t>
        </is>
      </c>
      <c r="F123" s="13" t="inlineStr">
        <is>
          <t>77.5</t>
        </is>
      </c>
      <c r="G123" s="13" t="inlineStr">
        <is>
          <t>145.8</t>
        </is>
      </c>
      <c r="H123" s="13" t="inlineStr">
        <is>
          <t>0.532</t>
        </is>
      </c>
      <c r="I123" s="14" t="inlineStr">
        <is>
          <t>directly-reported-rate</t>
        </is>
      </c>
      <c r="J123" s="14" t="inlineStr">
        <is>
          <t>text (overall AAIR 2007)</t>
        </is>
      </c>
      <c r="K123" s="15" t="inlineStr"/>
      <c r="L123" s="15" t="inlineStr"/>
      <c r="M123" s="16" t="inlineStr"/>
    </row>
    <row r="124">
      <c r="A124" s="13" t="inlineStr">
        <is>
          <t>12</t>
        </is>
      </c>
      <c r="B124" s="14" t="inlineStr">
        <is>
          <t>Zhang2025_USCS_female</t>
        </is>
      </c>
      <c r="C124" s="13" t="inlineStr">
        <is>
          <t>Black</t>
        </is>
      </c>
      <c r="D124" s="13" t="inlineStr">
        <is>
          <t>White (NH)</t>
        </is>
      </c>
      <c r="E124" s="13" t="inlineStr">
        <is>
          <t>aggregate-vs-NHW</t>
        </is>
      </c>
      <c r="F124" s="13" t="inlineStr">
        <is>
          <t>129.3</t>
        </is>
      </c>
      <c r="G124" s="13" t="inlineStr">
        <is>
          <t>139.0</t>
        </is>
      </c>
      <c r="H124" s="13" t="inlineStr">
        <is>
          <t>0.93 [0.92, 0.94]</t>
        </is>
      </c>
      <c r="I124" s="14" t="inlineStr">
        <is>
          <t>directly-reported-IRR</t>
        </is>
      </c>
      <c r="J124" s="14" t="inlineStr">
        <is>
          <t>Table (breast, rate ratio)</t>
        </is>
      </c>
      <c r="K124" s="15" t="inlineStr"/>
      <c r="L124" s="15" t="inlineStr"/>
      <c r="M124" s="16" t="inlineStr"/>
    </row>
    <row r="125">
      <c r="A125" s="13" t="inlineStr">
        <is>
          <t>12</t>
        </is>
      </c>
      <c r="B125" s="14" t="inlineStr">
        <is>
          <t>Zhang2025_USCS_female</t>
        </is>
      </c>
      <c r="C125" s="13" t="inlineStr">
        <is>
          <t>Asian/PI (aggregate)</t>
        </is>
      </c>
      <c r="D125" s="13" t="inlineStr">
        <is>
          <t>White (NH)</t>
        </is>
      </c>
      <c r="E125" s="13" t="inlineStr">
        <is>
          <t>aggregate-vs-NHW</t>
        </is>
      </c>
      <c r="F125" s="13" t="inlineStr">
        <is>
          <t>110.3</t>
        </is>
      </c>
      <c r="G125" s="13" t="inlineStr">
        <is>
          <t>139.0</t>
        </is>
      </c>
      <c r="H125" s="13" t="inlineStr">
        <is>
          <t>0.79 [0.79, 0.8]</t>
        </is>
      </c>
      <c r="I125" s="14" t="inlineStr">
        <is>
          <t>directly-reported-IRR</t>
        </is>
      </c>
      <c r="J125" s="14" t="inlineStr">
        <is>
          <t>Table (breast, rate ratio)</t>
        </is>
      </c>
      <c r="K125" s="15" t="inlineStr"/>
      <c r="L125" s="15" t="inlineStr"/>
      <c r="M125" s="16" t="inlineStr"/>
    </row>
    <row r="126">
      <c r="A126" s="13" t="inlineStr">
        <is>
          <t>12</t>
        </is>
      </c>
      <c r="B126" s="14" t="inlineStr">
        <is>
          <t>Zhang2025_USCS_female</t>
        </is>
      </c>
      <c r="C126" s="13" t="inlineStr">
        <is>
          <t>AIAN</t>
        </is>
      </c>
      <c r="D126" s="13" t="inlineStr">
        <is>
          <t>White (NH)</t>
        </is>
      </c>
      <c r="E126" s="13" t="inlineStr">
        <is>
          <t>aggregate-vs-NHW</t>
        </is>
      </c>
      <c r="F126" s="13" t="inlineStr">
        <is>
          <t>113.0</t>
        </is>
      </c>
      <c r="G126" s="13" t="inlineStr">
        <is>
          <t>139.0</t>
        </is>
      </c>
      <c r="H126" s="13" t="inlineStr">
        <is>
          <t>0.81 [0.77, 0.85]</t>
        </is>
      </c>
      <c r="I126" s="14" t="inlineStr">
        <is>
          <t>directly-reported-IRR</t>
        </is>
      </c>
      <c r="J126" s="14" t="inlineStr">
        <is>
          <t>Table (breast, rate ratio)</t>
        </is>
      </c>
      <c r="K126" s="15" t="inlineStr"/>
      <c r="L126" s="15" t="inlineStr"/>
      <c r="M126" s="16" t="inlineStr"/>
    </row>
    <row r="127">
      <c r="A127" s="13" t="inlineStr">
        <is>
          <t>12</t>
        </is>
      </c>
      <c r="B127" s="14" t="inlineStr">
        <is>
          <t>Zhang2025_USCS_female</t>
        </is>
      </c>
      <c r="C127" s="13" t="inlineStr">
        <is>
          <t>Hispanic</t>
        </is>
      </c>
      <c r="D127" s="13" t="inlineStr">
        <is>
          <t>White (NH)</t>
        </is>
      </c>
      <c r="E127" s="13" t="inlineStr">
        <is>
          <t>aggregate-vs-NHW</t>
        </is>
      </c>
      <c r="F127" s="13" t="inlineStr">
        <is>
          <t>101.2</t>
        </is>
      </c>
      <c r="G127" s="13" t="inlineStr">
        <is>
          <t>139.0</t>
        </is>
      </c>
      <c r="H127" s="13" t="inlineStr">
        <is>
          <t>0.73 [0.72, 0.73]</t>
        </is>
      </c>
      <c r="I127" s="14" t="inlineStr">
        <is>
          <t>directly-reported-IRR</t>
        </is>
      </c>
      <c r="J127" s="14" t="inlineStr">
        <is>
          <t>Table (breast, rate ratio)</t>
        </is>
      </c>
      <c r="K127" s="15" t="inlineStr"/>
      <c r="L127" s="15" t="inlineStr"/>
      <c r="M127" s="16" t="inlineStr"/>
    </row>
    <row r="128">
      <c r="A128" s="13" t="inlineStr">
        <is>
          <t>200</t>
        </is>
      </c>
      <c r="B128" s="14" t="inlineStr">
        <is>
          <t>Gleason2012_SEER</t>
        </is>
      </c>
      <c r="C128" s="13" t="inlineStr">
        <is>
          <t>Black</t>
        </is>
      </c>
      <c r="D128" s="13" t="inlineStr">
        <is>
          <t>White</t>
        </is>
      </c>
      <c r="E128" s="13" t="inlineStr">
        <is>
          <t>subtype-HRpos</t>
        </is>
      </c>
      <c r="F128" s="13" t="inlineStr">
        <is>
          <t>1026.9</t>
        </is>
      </c>
      <c r="G128" s="13" t="inlineStr">
        <is>
          <t>1460.1</t>
        </is>
      </c>
      <c r="H128" s="13" t="inlineStr">
        <is>
          <t>0.703 [0.685, 0.722]</t>
        </is>
      </c>
      <c r="I128" s="14" t="inlineStr">
        <is>
          <t>computed-from-rates-with-CI</t>
        </is>
      </c>
      <c r="J128" s="14" t="inlineStr">
        <is>
          <t>Table 1 (cumulative incidence CIR)</t>
        </is>
      </c>
      <c r="K128" s="15" t="inlineStr"/>
      <c r="L128" s="15" t="inlineStr"/>
      <c r="M128" s="16" t="inlineStr"/>
    </row>
    <row r="129">
      <c r="A129" s="13" t="inlineStr">
        <is>
          <t>200</t>
        </is>
      </c>
      <c r="B129" s="14" t="inlineStr">
        <is>
          <t>Gleason2012_SEER</t>
        </is>
      </c>
      <c r="C129" s="13" t="inlineStr">
        <is>
          <t>Black</t>
        </is>
      </c>
      <c r="D129" s="13" t="inlineStr">
        <is>
          <t>White</t>
        </is>
      </c>
      <c r="E129" s="13" t="inlineStr">
        <is>
          <t>subtype-HRneg</t>
        </is>
      </c>
      <c r="F129" s="13" t="inlineStr">
        <is>
          <t>625.9</t>
        </is>
      </c>
      <c r="G129" s="13" t="inlineStr">
        <is>
          <t>391.3</t>
        </is>
      </c>
      <c r="H129" s="13" t="inlineStr">
        <is>
          <t>1.600 [1.548, 1.652]</t>
        </is>
      </c>
      <c r="I129" s="14" t="inlineStr">
        <is>
          <t>computed-from-rates-with-CI</t>
        </is>
      </c>
      <c r="J129" s="14" t="inlineStr">
        <is>
          <t>Table 1 (cumulative incidence CIR)</t>
        </is>
      </c>
      <c r="K129" s="15" t="inlineStr"/>
      <c r="L129" s="15" t="inlineStr"/>
      <c r="M129" s="16" t="inlineStr"/>
    </row>
    <row r="130">
      <c r="A130" s="13" t="inlineStr">
        <is>
          <t>200</t>
        </is>
      </c>
      <c r="B130" s="14" t="inlineStr">
        <is>
          <t>Gleason2012_SEER</t>
        </is>
      </c>
      <c r="C130" s="13" t="inlineStr">
        <is>
          <t>Black</t>
        </is>
      </c>
      <c r="D130" s="13" t="inlineStr">
        <is>
          <t>White</t>
        </is>
      </c>
      <c r="E130" s="13" t="inlineStr">
        <is>
          <t>subtype-ERpos-PRneg</t>
        </is>
      </c>
      <c r="F130" s="13" t="inlineStr">
        <is>
          <t>271.2</t>
        </is>
      </c>
      <c r="G130" s="13" t="inlineStr">
        <is>
          <t>278.3</t>
        </is>
      </c>
      <c r="H130" s="13" t="inlineStr">
        <is>
          <t>0.974 [0.925, 1.027]</t>
        </is>
      </c>
      <c r="I130" s="14" t="inlineStr">
        <is>
          <t>computed-from-rates-with-CI</t>
        </is>
      </c>
      <c r="J130" s="14" t="inlineStr">
        <is>
          <t>Table 1 (cumulative incidence CIR)</t>
        </is>
      </c>
      <c r="K130" s="15" t="inlineStr"/>
      <c r="L130" s="15" t="inlineStr"/>
      <c r="M130" s="16" t="inlineStr"/>
    </row>
    <row r="131">
      <c r="A131" s="13" t="inlineStr">
        <is>
          <t>200</t>
        </is>
      </c>
      <c r="B131" s="14" t="inlineStr">
        <is>
          <t>Gleason2012_SEER</t>
        </is>
      </c>
      <c r="C131" s="13" t="inlineStr">
        <is>
          <t>Black</t>
        </is>
      </c>
      <c r="D131" s="13" t="inlineStr">
        <is>
          <t>White</t>
        </is>
      </c>
      <c r="E131" s="13" t="inlineStr">
        <is>
          <t>subtype-ERneg-PRpos</t>
        </is>
      </c>
      <c r="F131" s="13" t="inlineStr">
        <is>
          <t>31.8</t>
        </is>
      </c>
      <c r="G131" s="13" t="inlineStr">
        <is>
          <t>21.8</t>
        </is>
      </c>
      <c r="H131" s="13" t="inlineStr">
        <is>
          <t>1.459 [1.267, 1.679]</t>
        </is>
      </c>
      <c r="I131" s="14" t="inlineStr">
        <is>
          <t>computed-from-rates-with-CI</t>
        </is>
      </c>
      <c r="J131" s="14" t="inlineStr">
        <is>
          <t>Table 1 (cumulative incidence CIR)</t>
        </is>
      </c>
      <c r="K131" s="15" t="inlineStr"/>
      <c r="L131" s="15" t="inlineStr"/>
      <c r="M131" s="16" t="inlineStr"/>
    </row>
    <row r="132">
      <c r="A132" s="13" t="inlineStr">
        <is>
          <t>1478</t>
        </is>
      </c>
      <c r="B132" s="14" t="inlineStr">
        <is>
          <t>Yazzie2025_Navajo</t>
        </is>
      </c>
      <c r="C132" s="13" t="inlineStr">
        <is>
          <t>AIAN (Navajo)</t>
        </is>
      </c>
      <c r="D132" s="13" t="inlineStr">
        <is>
          <t>NHW</t>
        </is>
      </c>
      <c r="E132" s="13" t="inlineStr">
        <is>
          <t>AIAN</t>
        </is>
      </c>
      <c r="F132" s="13" t="inlineStr">
        <is>
          <t>60.9</t>
        </is>
      </c>
      <c r="G132" s="13" t="inlineStr"/>
      <c r="H132" s="13" t="inlineStr">
        <is>
          <t>0.49 [0.44, 0.55]</t>
        </is>
      </c>
      <c r="I132" s="14" t="inlineStr">
        <is>
          <t>directly-reported-IRR</t>
        </is>
      </c>
      <c r="J132" s="14" t="inlineStr">
        <is>
          <t>Table (Navajo vs NHW)</t>
        </is>
      </c>
      <c r="K132" s="15" t="inlineStr"/>
      <c r="L132" s="15" t="inlineStr"/>
      <c r="M132" s="16" t="inlineStr"/>
    </row>
    <row r="133">
      <c r="A133" s="13" t="inlineStr">
        <is>
          <t>169</t>
        </is>
      </c>
      <c r="B133" s="14" t="inlineStr">
        <is>
          <t>Ellington2022_USCS</t>
        </is>
      </c>
      <c r="C133" s="13" t="inlineStr">
        <is>
          <t>Black</t>
        </is>
      </c>
      <c r="D133" s="13" t="inlineStr">
        <is>
          <t>NHW</t>
        </is>
      </c>
      <c r="E133" s="13" t="inlineStr">
        <is>
          <t>aggregate-vs-NHW</t>
        </is>
      </c>
      <c r="F133" s="13" t="inlineStr">
        <is>
          <t>174.0</t>
        </is>
      </c>
      <c r="G133" s="13" t="inlineStr">
        <is>
          <t>186.5</t>
        </is>
      </c>
      <c r="H133" s="13" t="inlineStr">
        <is>
          <t>0.933 [0.920, 0.946]</t>
        </is>
      </c>
      <c r="I133" s="14" t="inlineStr">
        <is>
          <t>computed-from-rates-Poisson-SE</t>
        </is>
      </c>
      <c r="J133" s="14" t="inlineStr">
        <is>
          <t>MMWR Table (women &gt;=20)</t>
        </is>
      </c>
      <c r="K133" s="15" t="inlineStr"/>
      <c r="L133" s="15" t="inlineStr"/>
      <c r="M133" s="16" t="inlineStr"/>
    </row>
    <row r="134">
      <c r="A134" s="13" t="inlineStr">
        <is>
          <t>169</t>
        </is>
      </c>
      <c r="B134" s="14" t="inlineStr">
        <is>
          <t>Ellington2022_USCS</t>
        </is>
      </c>
      <c r="C134" s="13" t="inlineStr">
        <is>
          <t>Hispanic</t>
        </is>
      </c>
      <c r="D134" s="13" t="inlineStr">
        <is>
          <t>NHW</t>
        </is>
      </c>
      <c r="E134" s="13" t="inlineStr">
        <is>
          <t>aggregate-vs-NHW</t>
        </is>
      </c>
      <c r="F134" s="13" t="inlineStr">
        <is>
          <t>134.0</t>
        </is>
      </c>
      <c r="G134" s="13" t="inlineStr">
        <is>
          <t>186.5</t>
        </is>
      </c>
      <c r="H134" s="13" t="inlineStr">
        <is>
          <t>0.718 [0.707, 0.731]</t>
        </is>
      </c>
      <c r="I134" s="14" t="inlineStr">
        <is>
          <t>computed-from-rates-Poisson-SE</t>
        </is>
      </c>
      <c r="J134" s="14" t="inlineStr">
        <is>
          <t>MMWR Table (women &gt;=20)</t>
        </is>
      </c>
      <c r="K134" s="15" t="inlineStr"/>
      <c r="L134" s="15" t="inlineStr"/>
      <c r="M134" s="16" t="inlineStr"/>
    </row>
    <row r="135">
      <c r="A135" s="13" t="inlineStr">
        <is>
          <t>169</t>
        </is>
      </c>
      <c r="B135" s="14" t="inlineStr">
        <is>
          <t>Ellington2022_USCS</t>
        </is>
      </c>
      <c r="C135" s="13" t="inlineStr">
        <is>
          <t>Asian/PI (aggregate)</t>
        </is>
      </c>
      <c r="D135" s="13" t="inlineStr">
        <is>
          <t>NHW</t>
        </is>
      </c>
      <c r="E135" s="13" t="inlineStr">
        <is>
          <t>aggregate-vs-NHW</t>
        </is>
      </c>
      <c r="F135" s="13" t="inlineStr">
        <is>
          <t>143.5</t>
        </is>
      </c>
      <c r="G135" s="13" t="inlineStr">
        <is>
          <t>186.5</t>
        </is>
      </c>
      <c r="H135" s="13" t="inlineStr">
        <is>
          <t>0.769 [0.752, 0.788]</t>
        </is>
      </c>
      <c r="I135" s="14" t="inlineStr">
        <is>
          <t>computed-from-rates-Poisson-SE</t>
        </is>
      </c>
      <c r="J135" s="14" t="inlineStr">
        <is>
          <t>MMWR Table (women &gt;=20)</t>
        </is>
      </c>
      <c r="K135" s="15" t="inlineStr"/>
      <c r="L135" s="15" t="inlineStr"/>
      <c r="M135" s="16" t="inlineStr"/>
    </row>
    <row r="136">
      <c r="A136" s="13" t="inlineStr">
        <is>
          <t>169</t>
        </is>
      </c>
      <c r="B136" s="14" t="inlineStr">
        <is>
          <t>Ellington2022_USCS</t>
        </is>
      </c>
      <c r="C136" s="13" t="inlineStr">
        <is>
          <t>AIAN</t>
        </is>
      </c>
      <c r="D136" s="13" t="inlineStr">
        <is>
          <t>NHW</t>
        </is>
      </c>
      <c r="E136" s="13" t="inlineStr">
        <is>
          <t>aggregate-vs-NHW</t>
        </is>
      </c>
      <c r="F136" s="13" t="inlineStr">
        <is>
          <t>127.3</t>
        </is>
      </c>
      <c r="G136" s="13" t="inlineStr">
        <is>
          <t>186.5</t>
        </is>
      </c>
      <c r="H136" s="13" t="inlineStr">
        <is>
          <t>0.683 [0.642, 0.726]</t>
        </is>
      </c>
      <c r="I136" s="14" t="inlineStr">
        <is>
          <t>computed-from-rates-Poisson-SE</t>
        </is>
      </c>
      <c r="J136" s="14" t="inlineStr">
        <is>
          <t>MMWR Table (women &gt;=20)</t>
        </is>
      </c>
      <c r="K136" s="15" t="inlineStr"/>
      <c r="L136" s="15" t="inlineStr"/>
      <c r="M136" s="16" t="inlineStr"/>
    </row>
    <row r="137">
      <c r="A137" s="13" t="inlineStr">
        <is>
          <t>587</t>
        </is>
      </c>
      <c r="B137" s="14" t="inlineStr">
        <is>
          <t>Nasseri2009</t>
        </is>
      </c>
      <c r="C137" s="13" t="inlineStr">
        <is>
          <t>Middle Eastern</t>
        </is>
      </c>
      <c r="D137" s="13" t="inlineStr">
        <is>
          <t>NHW</t>
        </is>
      </c>
      <c r="E137" s="13" t="inlineStr">
        <is>
          <t>disaggregated-MENA</t>
        </is>
      </c>
      <c r="F137" s="13" t="inlineStr">
        <is>
          <t>126.2</t>
        </is>
      </c>
      <c r="G137" s="13" t="inlineStr">
        <is>
          <t>146.9</t>
        </is>
      </c>
      <c r="H137" s="13" t="inlineStr">
        <is>
          <t>0.86 [0.84, 0.88]</t>
        </is>
      </c>
      <c r="I137" s="14" t="inlineStr">
        <is>
          <t>directly-reported-IRR</t>
        </is>
      </c>
      <c r="J137" s="14" t="inlineStr">
        <is>
          <t>Abstract/Results (126.2/146.9)</t>
        </is>
      </c>
      <c r="K137" s="15" t="inlineStr"/>
      <c r="L137" s="15" t="inlineStr"/>
      <c r="M137" s="16" t="inlineStr"/>
    </row>
    <row r="138">
      <c r="A138" s="13" t="inlineStr">
        <is>
          <t>51</t>
        </is>
      </c>
      <c r="B138" s="14" t="inlineStr">
        <is>
          <t>Nash2022</t>
        </is>
      </c>
      <c r="C138" s="13" t="inlineStr">
        <is>
          <t>Alaska Native</t>
        </is>
      </c>
      <c r="D138" s="13" t="inlineStr">
        <is>
          <t>NHW (external SEER-Explorer)</t>
        </is>
      </c>
      <c r="E138" s="13" t="inlineStr">
        <is>
          <t>AIAN</t>
        </is>
      </c>
      <c r="F138" s="13" t="inlineStr">
        <is>
          <t>130.8 [116.7, 146.0]</t>
        </is>
      </c>
      <c r="G138" s="13" t="inlineStr">
        <is>
          <t>137.4</t>
        </is>
      </c>
      <c r="H138" s="13" t="inlineStr">
        <is>
          <t>0.952 [0.851, 1.065]</t>
        </is>
      </c>
      <c r="I138" s="14" t="inlineStr">
        <is>
          <t>computed-from-rates-with-CI</t>
        </is>
      </c>
      <c r="J138" s="14" t="inlineStr">
        <is>
          <t>Table 1 (female breast, 340 cases IR 130.8)</t>
        </is>
      </c>
      <c r="K138" s="15" t="inlineStr"/>
      <c r="L138" s="15" t="inlineStr"/>
      <c r="M138" s="16" t="inlineStr"/>
    </row>
    <row r="139">
      <c r="A139" s="13" t="inlineStr">
        <is>
          <t>955</t>
        </is>
      </c>
      <c r="B139" s="14" t="inlineStr">
        <is>
          <t>Goggins2009</t>
        </is>
      </c>
      <c r="C139" s="13" t="inlineStr">
        <is>
          <t>Asian Indian/Pakistani</t>
        </is>
      </c>
      <c r="D139" s="13" t="inlineStr">
        <is>
          <t>US White (SIR reference)</t>
        </is>
      </c>
      <c r="E139" s="13" t="inlineStr">
        <is>
          <t>disaggregated-AANHPI</t>
        </is>
      </c>
      <c r="F139" s="13" t="inlineStr">
        <is>
          <t>59.52</t>
        </is>
      </c>
      <c r="G139" s="13" t="inlineStr"/>
      <c r="H139" s="13" t="inlineStr">
        <is>
          <t>0.61 [0.56, 0.66]</t>
        </is>
      </c>
      <c r="I139" s="14" t="inlineStr">
        <is>
          <t>directly-reported-SIR</t>
        </is>
      </c>
      <c r="J139" s="14" t="inlineStr">
        <is>
          <t>Table 1 (Breast female SIR 0.61)</t>
        </is>
      </c>
      <c r="K139" s="15" t="inlineStr"/>
      <c r="L139" s="15" t="inlineStr"/>
      <c r="M139" s="16" t="inlineStr"/>
    </row>
    <row r="140">
      <c r="A140" s="13" t="inlineStr">
        <is>
          <t>4333</t>
        </is>
      </c>
      <c r="B140" s="14" t="inlineStr">
        <is>
          <t>Wilkinson2002</t>
        </is>
      </c>
      <c r="C140" s="13" t="inlineStr">
        <is>
          <t>Hispanic/Latina (aggregate)</t>
        </is>
      </c>
      <c r="D140" s="13" t="inlineStr">
        <is>
          <t>NHW</t>
        </is>
      </c>
      <c r="E140" s="13" t="inlineStr">
        <is>
          <t>Hispanic-origin</t>
        </is>
      </c>
      <c r="F140" s="13" t="inlineStr">
        <is>
          <t>81.9</t>
        </is>
      </c>
      <c r="G140" s="13" t="inlineStr">
        <is>
          <t>125.8</t>
        </is>
      </c>
      <c r="H140" s="13" t="inlineStr">
        <is>
          <t>0.651 [0.624, 0.679]</t>
        </is>
      </c>
      <c r="I140" s="14" t="inlineStr">
        <is>
          <t>computed-from-rates-with-CI</t>
        </is>
      </c>
      <c r="J140" s="14" t="inlineStr">
        <is>
          <t>Table 1 (breast invasive 1990-1998)</t>
        </is>
      </c>
      <c r="K140" s="15" t="inlineStr"/>
      <c r="L140" s="15" t="inlineStr"/>
      <c r="M140" s="16" t="inlineStr"/>
    </row>
    <row r="141">
      <c r="A141" s="13" t="inlineStr">
        <is>
          <t>49</t>
        </is>
      </c>
      <c r="B141" s="14" t="inlineStr">
        <is>
          <t>Mills2005</t>
        </is>
      </c>
      <c r="C141" s="13" t="inlineStr">
        <is>
          <t>Hmong</t>
        </is>
      </c>
      <c r="D141" s="13" t="inlineStr">
        <is>
          <t>NHW</t>
        </is>
      </c>
      <c r="E141" s="13" t="inlineStr">
        <is>
          <t>disaggregated-AANHPI</t>
        </is>
      </c>
      <c r="F141" s="13" t="inlineStr">
        <is>
          <t>23.8</t>
        </is>
      </c>
      <c r="G141" s="13" t="inlineStr">
        <is>
          <t>145.5</t>
        </is>
      </c>
      <c r="H141" s="13" t="inlineStr">
        <is>
          <t>0.164 [0.120, 0.224]</t>
        </is>
      </c>
      <c r="I141" s="14" t="inlineStr">
        <is>
          <t>computed-from-rates-Poisson-SE</t>
        </is>
      </c>
      <c r="J141" s="14" t="inlineStr">
        <is>
          <t>Table 2 (Breast female: Hmong 23.8 n=39, NHW 145.5)</t>
        </is>
      </c>
      <c r="K141" s="15" t="inlineStr"/>
      <c r="L141" s="15" t="inlineStr"/>
      <c r="M141" s="16" t="inlineStr"/>
    </row>
    <row r="142">
      <c r="A142" s="13" t="inlineStr">
        <is>
          <t>3267</t>
        </is>
      </c>
      <c r="B142" s="14" t="inlineStr">
        <is>
          <t>Kem2007</t>
        </is>
      </c>
      <c r="C142" s="13" t="inlineStr">
        <is>
          <t>Cambodian</t>
        </is>
      </c>
      <c r="D142" s="13" t="inlineStr">
        <is>
          <t>NHW</t>
        </is>
      </c>
      <c r="E142" s="13" t="inlineStr">
        <is>
          <t>disaggregated-AANHPI</t>
        </is>
      </c>
      <c r="F142" s="13" t="inlineStr">
        <is>
          <t>41.0</t>
        </is>
      </c>
      <c r="G142" s="13" t="inlineStr">
        <is>
          <t>155.5</t>
        </is>
      </c>
      <c r="H142" s="13" t="inlineStr">
        <is>
          <t>0.264 [0.204, 0.341]</t>
        </is>
      </c>
      <c r="I142" s="14" t="inlineStr">
        <is>
          <t>computed-from-rates-Poisson-SE</t>
        </is>
      </c>
      <c r="J142" s="14" t="inlineStr">
        <is>
          <t>Table 1 Women Breast (high rate 41.0, count 58, NHW 155.5, ratio 0.26)</t>
        </is>
      </c>
      <c r="K142" s="15" t="inlineStr"/>
      <c r="L142" s="15" t="inlineStr"/>
      <c r="M142" s="16" t="inlineStr"/>
    </row>
    <row r="143">
      <c r="A143" s="13" t="inlineStr">
        <is>
          <t>234</t>
        </is>
      </c>
      <c r="B143" s="14" t="inlineStr">
        <is>
          <t>Gomez2026_SEER21</t>
        </is>
      </c>
      <c r="C143" s="13" t="inlineStr">
        <is>
          <t>Black</t>
        </is>
      </c>
      <c r="D143" s="13" t="inlineStr">
        <is>
          <t>NHW</t>
        </is>
      </c>
      <c r="E143" s="13" t="inlineStr">
        <is>
          <t>aggregate-vs-NHW</t>
        </is>
      </c>
      <c r="F143" s="13" t="inlineStr">
        <is>
          <t>131.2 [130.1, 132.2]</t>
        </is>
      </c>
      <c r="G143" s="13" t="inlineStr">
        <is>
          <t>139.5 [139.0, 140.0]</t>
        </is>
      </c>
      <c r="H143" s="13" t="inlineStr">
        <is>
          <t>0.941 [0.932, 0.949]</t>
        </is>
      </c>
      <c r="I143" s="14" t="inlineStr">
        <is>
          <t>computed-from-rates-with-CI</t>
        </is>
      </c>
      <c r="J143" s="14" t="inlineStr">
        <is>
          <t>eTable3</t>
        </is>
      </c>
      <c r="K143" s="15" t="inlineStr"/>
      <c r="L143" s="15" t="inlineStr"/>
      <c r="M143" s="16" t="inlineStr"/>
    </row>
    <row r="144">
      <c r="A144" s="13" t="inlineStr">
        <is>
          <t>234</t>
        </is>
      </c>
      <c r="B144" s="14" t="inlineStr">
        <is>
          <t>Gomez2026_SEER21</t>
        </is>
      </c>
      <c r="C144" s="13" t="inlineStr">
        <is>
          <t>Hispanic</t>
        </is>
      </c>
      <c r="D144" s="13" t="inlineStr">
        <is>
          <t>NHW</t>
        </is>
      </c>
      <c r="E144" s="13" t="inlineStr">
        <is>
          <t>aggregate-vs-NHW</t>
        </is>
      </c>
      <c r="F144" s="13" t="inlineStr">
        <is>
          <t>104.0 [103.3, 104.7]</t>
        </is>
      </c>
      <c r="G144" s="13" t="inlineStr">
        <is>
          <t>139.5 [139.0, 140.0]</t>
        </is>
      </c>
      <c r="H144" s="13" t="inlineStr">
        <is>
          <t>0.746 [0.74, 0.751]</t>
        </is>
      </c>
      <c r="I144" s="14" t="inlineStr">
        <is>
          <t>computed-from-rates-with-CI</t>
        </is>
      </c>
      <c r="J144" s="14" t="inlineStr">
        <is>
          <t>eTable3</t>
        </is>
      </c>
      <c r="K144" s="15" t="inlineStr"/>
      <c r="L144" s="15" t="inlineStr"/>
      <c r="M144" s="16" t="inlineStr"/>
    </row>
    <row r="145">
      <c r="A145" s="13" t="inlineStr">
        <is>
          <t>234</t>
        </is>
      </c>
      <c r="B145" s="14" t="inlineStr">
        <is>
          <t>Gomez2026_SEER21</t>
        </is>
      </c>
      <c r="C145" s="13" t="inlineStr">
        <is>
          <t>AIAN</t>
        </is>
      </c>
      <c r="D145" s="13" t="inlineStr">
        <is>
          <t>NHW</t>
        </is>
      </c>
      <c r="E145" s="13" t="inlineStr">
        <is>
          <t>aggregate-vs-NHW</t>
        </is>
      </c>
      <c r="F145" s="13" t="inlineStr">
        <is>
          <t>98.7 [94.5, 103.1]</t>
        </is>
      </c>
      <c r="G145" s="13" t="inlineStr">
        <is>
          <t>139.5 [139.0, 140.0]</t>
        </is>
      </c>
      <c r="H145" s="13" t="inlineStr">
        <is>
          <t>0.708 [0.677, 0.739]</t>
        </is>
      </c>
      <c r="I145" s="14" t="inlineStr">
        <is>
          <t>computed-from-rates-with-CI</t>
        </is>
      </c>
      <c r="J145" s="14" t="inlineStr">
        <is>
          <t>eTable3</t>
        </is>
      </c>
      <c r="K145" s="15" t="inlineStr"/>
      <c r="L145" s="15" t="inlineStr"/>
      <c r="M145" s="16" t="inlineStr"/>
    </row>
    <row r="146">
      <c r="A146" s="13" t="inlineStr">
        <is>
          <t>234</t>
        </is>
      </c>
      <c r="B146" s="14" t="inlineStr">
        <is>
          <t>Gomez2026_SEER21</t>
        </is>
      </c>
      <c r="C146" s="13" t="inlineStr">
        <is>
          <t>Asian/PI (aggregate)</t>
        </is>
      </c>
      <c r="D146" s="13" t="inlineStr">
        <is>
          <t>NHW</t>
        </is>
      </c>
      <c r="E146" s="13" t="inlineStr">
        <is>
          <t>aggregate-vs-NHW</t>
        </is>
      </c>
      <c r="F146" s="13" t="inlineStr">
        <is>
          <t>112.9 [111.8, 113.9]</t>
        </is>
      </c>
      <c r="G146" s="13" t="inlineStr">
        <is>
          <t>139.5 [139.0, 140.0]</t>
        </is>
      </c>
      <c r="H146" s="13" t="inlineStr">
        <is>
          <t>0.809 [0.801, 0.817]</t>
        </is>
      </c>
      <c r="I146" s="14" t="inlineStr">
        <is>
          <t>computed-from-rates-with-CI</t>
        </is>
      </c>
      <c r="J146" s="14" t="inlineStr">
        <is>
          <t>eTable3</t>
        </is>
      </c>
      <c r="K146" s="15" t="inlineStr"/>
      <c r="L146" s="15" t="inlineStr"/>
      <c r="M146" s="16" t="inlineStr"/>
    </row>
    <row r="147">
      <c r="A147" s="13" t="inlineStr">
        <is>
          <t>234</t>
        </is>
      </c>
      <c r="B147" s="14" t="inlineStr">
        <is>
          <t>Gomez2026_SEER21</t>
        </is>
      </c>
      <c r="C147" s="13" t="inlineStr">
        <is>
          <t>Black</t>
        </is>
      </c>
      <c r="D147" s="13" t="inlineStr">
        <is>
          <t>NHW</t>
        </is>
      </c>
      <c r="E147" s="13" t="inlineStr">
        <is>
          <t>subtype-TNBC</t>
        </is>
      </c>
      <c r="F147" s="13" t="inlineStr">
        <is>
          <t>25.4 [25.0, 25.9]</t>
        </is>
      </c>
      <c r="G147" s="13" t="inlineStr">
        <is>
          <t>12.7 [12.5, 12.8]</t>
        </is>
      </c>
      <c r="H147" s="13" t="inlineStr">
        <is>
          <t>2.0 [1.958, 2.043]</t>
        </is>
      </c>
      <c r="I147" s="14" t="inlineStr">
        <is>
          <t>computed-from-rates-with-CI</t>
        </is>
      </c>
      <c r="J147" s="14" t="inlineStr">
        <is>
          <t>eTable3 (TNBC row)</t>
        </is>
      </c>
      <c r="K147" s="15" t="inlineStr"/>
      <c r="L147" s="15" t="inlineStr"/>
      <c r="M147" s="16" t="inlineStr"/>
    </row>
  </sheetData>
  <autoFilter ref="A1:M147"/>
  <dataValidations count="1">
    <dataValidation sqref="K3:K147"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2"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12" customWidth="1" min="13" max="13"/>
    <col width="40" customWidth="1" min="14" max="14"/>
    <col width="14" customWidth="1" min="15" max="15"/>
    <col width="14" customWidth="1" min="16" max="16"/>
    <col width="26" customWidth="1" min="17" max="17"/>
  </cols>
  <sheetData>
    <row r="1" ht="34" customHeight="1">
      <c r="A1" s="10" t="inlineStr">
        <is>
          <t>Study</t>
        </is>
      </c>
      <c r="B1" s="10" t="inlineStr">
        <is>
          <t>Registry</t>
        </is>
      </c>
      <c r="C1" s="10" t="inlineStr">
        <is>
          <t>Period</t>
        </is>
      </c>
      <c r="D1" s="10" t="inlineStr">
        <is>
          <t>Q1 frame</t>
        </is>
      </c>
      <c r="E1" s="10" t="inlineStr">
        <is>
          <t>Q2 sampling</t>
        </is>
      </c>
      <c r="F1" s="10" t="inlineStr">
        <is>
          <t>Q3 size</t>
        </is>
      </c>
      <c r="G1" s="10" t="inlineStr">
        <is>
          <t>Q4 described</t>
        </is>
      </c>
      <c r="H1" s="10" t="inlineStr">
        <is>
          <t>Q5 coverage</t>
        </is>
      </c>
      <c r="I1" s="10" t="inlineStr">
        <is>
          <t>Q6 condition</t>
        </is>
      </c>
      <c r="J1" s="10" t="inlineStr">
        <is>
          <t>Q7 measure</t>
        </is>
      </c>
      <c r="K1" s="10" t="inlineStr">
        <is>
          <t>Q8 analysis</t>
        </is>
      </c>
      <c r="L1" s="10" t="inlineStr">
        <is>
          <t>Q9 response</t>
        </is>
      </c>
      <c r="M1" s="10" t="inlineStr">
        <is>
          <t>AI Overall RoB</t>
        </is>
      </c>
      <c r="N1" s="10" t="inlineStr">
        <is>
          <t>AI justification</t>
        </is>
      </c>
      <c r="O1" s="10" t="inlineStr">
        <is>
          <t>AUTHOR agrees? (Yes/No)</t>
        </is>
      </c>
      <c r="P1" s="10" t="inlineStr">
        <is>
          <t>AUTHOR override RoB</t>
        </is>
      </c>
      <c r="Q1" s="10" t="inlineStr">
        <is>
          <t>AUTHOR note</t>
        </is>
      </c>
    </row>
    <row r="2">
      <c r="A2" s="11" t="inlineStr">
        <is>
          <t>Gomez2026_SEER21</t>
        </is>
      </c>
      <c r="B2" s="11" t="inlineStr">
        <is>
          <t>SEER-21</t>
        </is>
      </c>
      <c r="C2" s="11" t="inlineStr">
        <is>
          <t>2018-2022</t>
        </is>
      </c>
      <c r="D2" s="11" t="inlineStr">
        <is>
          <t>Y</t>
        </is>
      </c>
      <c r="E2" s="11" t="inlineStr">
        <is>
          <t>Y</t>
        </is>
      </c>
      <c r="F2" s="11" t="inlineStr">
        <is>
          <t>Y</t>
        </is>
      </c>
      <c r="G2" s="11" t="inlineStr">
        <is>
          <t>Y</t>
        </is>
      </c>
      <c r="H2" s="11" t="inlineStr">
        <is>
          <t>Y</t>
        </is>
      </c>
      <c r="I2" s="11" t="inlineStr">
        <is>
          <t>Y</t>
        </is>
      </c>
      <c r="J2" s="11" t="inlineStr">
        <is>
          <t>Y</t>
        </is>
      </c>
      <c r="K2" s="11" t="inlineStr">
        <is>
          <t>Y</t>
        </is>
      </c>
      <c r="L2" s="11" t="inlineStr">
        <is>
          <t>Y</t>
        </is>
      </c>
      <c r="M2" s="11" t="inlineStr">
        <is>
          <t>Low</t>
        </is>
      </c>
      <c r="N2" s="11" t="inlineStr">
        <is>
          <t>population-based registry; ...</t>
        </is>
      </c>
      <c r="O2" s="11" t="inlineStr">
        <is>
          <t>Yes</t>
        </is>
      </c>
      <c r="P2" s="12" t="inlineStr"/>
      <c r="Q2" s="11" t="inlineStr">
        <is>
          <t>(leave blank if you agree)</t>
        </is>
      </c>
    </row>
    <row r="3">
      <c r="A3" s="13" t="inlineStr">
        <is>
          <t>Howlader2014_SEER18</t>
        </is>
      </c>
      <c r="B3" s="13" t="inlineStr">
        <is>
          <t>SEER 18</t>
        </is>
      </c>
      <c r="C3" s="13" t="inlineStr">
        <is>
          <t>2010</t>
        </is>
      </c>
      <c r="D3" s="13" t="inlineStr">
        <is>
          <t>Yes</t>
        </is>
      </c>
      <c r="E3" s="13" t="inlineStr">
        <is>
          <t>Yes</t>
        </is>
      </c>
      <c r="F3" s="13" t="inlineStr">
        <is>
          <t>Yes</t>
        </is>
      </c>
      <c r="G3" s="13" t="inlineStr">
        <is>
          <t>Yes</t>
        </is>
      </c>
      <c r="H3" s="13" t="inlineStr">
        <is>
          <t>Yes</t>
        </is>
      </c>
      <c r="I3" s="13" t="inlineStr">
        <is>
          <t>Yes</t>
        </is>
      </c>
      <c r="J3" s="13" t="inlineStr">
        <is>
          <t>Yes</t>
        </is>
      </c>
      <c r="K3" s="13" t="inlineStr">
        <is>
          <t>Yes</t>
        </is>
      </c>
      <c r="L3" s="13" t="inlineStr">
        <is>
          <t>Yes</t>
        </is>
      </c>
      <c r="M3" s="13" t="inlineStr">
        <is>
          <t>Low</t>
        </is>
      </c>
      <c r="N3"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3" s="15" t="inlineStr"/>
      <c r="P3" s="16" t="inlineStr"/>
      <c r="Q3" s="15" t="inlineStr"/>
    </row>
    <row r="4">
      <c r="A4" s="13" t="inlineStr">
        <is>
          <t>Davis Lynn2025_SEER17</t>
        </is>
      </c>
      <c r="B4" s="13" t="inlineStr">
        <is>
          <t>SEER 17</t>
        </is>
      </c>
      <c r="C4" s="13" t="inlineStr">
        <is>
          <t>2013-2015</t>
        </is>
      </c>
      <c r="D4" s="13" t="inlineStr">
        <is>
          <t>Yes</t>
        </is>
      </c>
      <c r="E4" s="13" t="inlineStr">
        <is>
          <t>Yes</t>
        </is>
      </c>
      <c r="F4" s="13" t="inlineStr">
        <is>
          <t>Yes</t>
        </is>
      </c>
      <c r="G4" s="13" t="inlineStr">
        <is>
          <t>Yes</t>
        </is>
      </c>
      <c r="H4" s="13" t="inlineStr">
        <is>
          <t>Yes</t>
        </is>
      </c>
      <c r="I4" s="13" t="inlineStr">
        <is>
          <t>Yes</t>
        </is>
      </c>
      <c r="J4" s="13" t="inlineStr">
        <is>
          <t>Yes</t>
        </is>
      </c>
      <c r="K4" s="13" t="inlineStr">
        <is>
          <t>Yes</t>
        </is>
      </c>
      <c r="L4" s="13" t="inlineStr">
        <is>
          <t>Yes</t>
        </is>
      </c>
      <c r="M4" s="13" t="inlineStr">
        <is>
          <t>Low</t>
        </is>
      </c>
      <c r="N4"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4" s="15" t="inlineStr"/>
      <c r="P4" s="16" t="inlineStr"/>
      <c r="Q4" s="15" t="inlineStr"/>
    </row>
    <row r="5">
      <c r="A5" s="13" t="inlineStr">
        <is>
          <t>Zhang2025_USCS_female</t>
        </is>
      </c>
      <c r="B5" s="13" t="inlineStr">
        <is>
          <t>US national</t>
        </is>
      </c>
      <c r="C5" s="13" t="inlineStr">
        <is>
          <t>2017-2021</t>
        </is>
      </c>
      <c r="D5" s="13" t="inlineStr">
        <is>
          <t>Yes</t>
        </is>
      </c>
      <c r="E5" s="13" t="inlineStr">
        <is>
          <t>Yes</t>
        </is>
      </c>
      <c r="F5" s="13" t="inlineStr">
        <is>
          <t>Yes</t>
        </is>
      </c>
      <c r="G5" s="13" t="inlineStr">
        <is>
          <t>Yes</t>
        </is>
      </c>
      <c r="H5" s="13" t="inlineStr">
        <is>
          <t>Yes</t>
        </is>
      </c>
      <c r="I5" s="13" t="inlineStr">
        <is>
          <t>Yes</t>
        </is>
      </c>
      <c r="J5" s="13" t="inlineStr">
        <is>
          <t>Yes</t>
        </is>
      </c>
      <c r="K5" s="13" t="inlineStr">
        <is>
          <t>Yes</t>
        </is>
      </c>
      <c r="L5" s="13" t="inlineStr">
        <is>
          <t>Yes</t>
        </is>
      </c>
      <c r="M5" s="13" t="inlineStr">
        <is>
          <t>Low</t>
        </is>
      </c>
      <c r="N5"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5" s="15" t="inlineStr"/>
      <c r="P5" s="16" t="inlineStr"/>
      <c r="Q5" s="15" t="inlineStr"/>
    </row>
    <row r="6">
      <c r="A6" s="13" t="inlineStr">
        <is>
          <t>Nash2019_ANTR</t>
        </is>
      </c>
      <c r="B6" s="13" t="inlineStr">
        <is>
          <t>Alaska Native Tumor Registry (SEER)</t>
        </is>
      </c>
      <c r="C6" s="13" t="inlineStr">
        <is>
          <t>2009-2014</t>
        </is>
      </c>
      <c r="D6" s="13" t="inlineStr">
        <is>
          <t>Yes</t>
        </is>
      </c>
      <c r="E6" s="13" t="inlineStr">
        <is>
          <t>Yes</t>
        </is>
      </c>
      <c r="F6" s="13" t="inlineStr">
        <is>
          <t>Yes</t>
        </is>
      </c>
      <c r="G6" s="13" t="inlineStr">
        <is>
          <t>Yes</t>
        </is>
      </c>
      <c r="H6" s="13" t="inlineStr">
        <is>
          <t>Yes</t>
        </is>
      </c>
      <c r="I6" s="13" t="inlineStr">
        <is>
          <t>Yes</t>
        </is>
      </c>
      <c r="J6" s="13" t="inlineStr">
        <is>
          <t>Yes</t>
        </is>
      </c>
      <c r="K6" s="13" t="inlineStr">
        <is>
          <t>Yes</t>
        </is>
      </c>
      <c r="L6" s="13" t="inlineStr">
        <is>
          <t>Yes</t>
        </is>
      </c>
      <c r="M6" s="13" t="inlineStr">
        <is>
          <t>Low</t>
        </is>
      </c>
      <c r="N6"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(IHS/tribal registry linkage (validated AI/AN classification)); Q8_analysis:Yes (age-standardized to a stated standard with a reported/computed variance); Q9_response:Yes (not applicable (census-like registry ascertainment))</t>
        </is>
      </c>
      <c r="O6" s="15" t="inlineStr"/>
      <c r="P6" s="16" t="inlineStr"/>
      <c r="Q6" s="15" t="inlineStr"/>
    </row>
    <row r="7">
      <c r="A7" s="13" t="inlineStr">
        <is>
          <t>Mills2005</t>
        </is>
      </c>
      <c r="B7" s="13" t="inlineStr">
        <is>
          <t>California-CCR</t>
        </is>
      </c>
      <c r="C7" s="13" t="inlineStr">
        <is>
          <t>Hmong 1988-2000 / NHW 1995-1999</t>
        </is>
      </c>
      <c r="D7" s="13" t="inlineStr">
        <is>
          <t>Yes</t>
        </is>
      </c>
      <c r="E7" s="13" t="inlineStr">
        <is>
          <t>Yes</t>
        </is>
      </c>
      <c r="F7" s="13" t="inlineStr">
        <is>
          <t>No</t>
        </is>
      </c>
      <c r="G7" s="13" t="inlineStr">
        <is>
          <t>Yes</t>
        </is>
      </c>
      <c r="H7" s="13" t="inlineStr">
        <is>
          <t>Yes</t>
        </is>
      </c>
      <c r="I7" s="13" t="inlineStr">
        <is>
          <t>Yes</t>
        </is>
      </c>
      <c r="J7" s="13" t="inlineStr">
        <is>
          <t>Yes</t>
        </is>
      </c>
      <c r="K7" s="13" t="inlineStr">
        <is>
          <t>Yes</t>
        </is>
      </c>
      <c r="L7" s="13" t="inlineStr">
        <is>
          <t>Yes</t>
        </is>
      </c>
      <c r="M7" s="13" t="inlineStr">
        <is>
          <t>Low</t>
        </is>
      </c>
      <c r="N7" s="13" t="inlineStr">
        <is>
          <t>Q1_frame:Yes (population-based cancer registry covering a defined population); Q2_sampling:Yes (registry ascertains all diagnosed cases (census-like)); Q3_size:No (small case count / provisional estimate (rate unstable));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7" s="15" t="inlineStr"/>
      <c r="P7" s="16" t="inlineStr"/>
      <c r="Q7" s="15" t="inlineStr"/>
    </row>
    <row r="8">
      <c r="A8" s="13" t="inlineStr">
        <is>
          <t>Nash2022</t>
        </is>
      </c>
      <c r="B8" s="13" t="inlineStr">
        <is>
          <t>ANTR (Alaska Native Tumour Registry)</t>
        </is>
      </c>
      <c r="C8" s="13" t="inlineStr">
        <is>
          <t>2014-2018</t>
        </is>
      </c>
      <c r="D8" s="13" t="inlineStr">
        <is>
          <t>Yes</t>
        </is>
      </c>
      <c r="E8" s="13" t="inlineStr">
        <is>
          <t>Yes</t>
        </is>
      </c>
      <c r="F8" s="13" t="inlineStr">
        <is>
          <t>Yes</t>
        </is>
      </c>
      <c r="G8" s="13" t="inlineStr">
        <is>
          <t>Yes</t>
        </is>
      </c>
      <c r="H8" s="13" t="inlineStr">
        <is>
          <t>Yes</t>
        </is>
      </c>
      <c r="I8" s="13" t="inlineStr">
        <is>
          <t>Yes</t>
        </is>
      </c>
      <c r="J8" s="13" t="inlineStr">
        <is>
          <t>Yes</t>
        </is>
      </c>
      <c r="K8" s="13" t="inlineStr">
        <is>
          <t>Yes</t>
        </is>
      </c>
      <c r="L8" s="13" t="inlineStr">
        <is>
          <t>Yes</t>
        </is>
      </c>
      <c r="M8" s="13" t="inlineStr">
        <is>
          <t>Low</t>
        </is>
      </c>
      <c r="N8"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(IHS/tribal registry linkage (validated AI/AN classification)); Q8_analysis:Yes (age-standardized to a stated standard with a reported/computed variance); Q9_response:Yes (not applicable (census-like registry ascertainment))</t>
        </is>
      </c>
      <c r="O8" s="15" t="inlineStr"/>
      <c r="P8" s="16" t="inlineStr"/>
      <c r="Q8" s="15" t="inlineStr"/>
    </row>
    <row r="9">
      <c r="A9" s="13" t="inlineStr">
        <is>
          <t>Hendrick2021_SEER9</t>
        </is>
      </c>
      <c r="B9" s="13" t="inlineStr">
        <is>
          <t>SEER 9</t>
        </is>
      </c>
      <c r="C9" s="13" t="inlineStr">
        <is>
          <t>2013-2017</t>
        </is>
      </c>
      <c r="D9" s="13" t="inlineStr">
        <is>
          <t>Yes</t>
        </is>
      </c>
      <c r="E9" s="13" t="inlineStr">
        <is>
          <t>Yes</t>
        </is>
      </c>
      <c r="F9" s="13" t="inlineStr">
        <is>
          <t>Yes</t>
        </is>
      </c>
      <c r="G9" s="13" t="inlineStr">
        <is>
          <t>Yes</t>
        </is>
      </c>
      <c r="H9" s="13" t="inlineStr">
        <is>
          <t>Yes</t>
        </is>
      </c>
      <c r="I9" s="13" t="inlineStr">
        <is>
          <t>Yes</t>
        </is>
      </c>
      <c r="J9" s="13" t="inlineStr">
        <is>
          <t>Yes</t>
        </is>
      </c>
      <c r="K9" s="13" t="inlineStr">
        <is>
          <t>Yes</t>
        </is>
      </c>
      <c r="L9" s="13" t="inlineStr">
        <is>
          <t>Yes</t>
        </is>
      </c>
      <c r="M9" s="13" t="inlineStr">
        <is>
          <t>Low</t>
        </is>
      </c>
      <c r="N9"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9" s="15" t="inlineStr"/>
      <c r="P9" s="16" t="inlineStr"/>
      <c r="Q9" s="15" t="inlineStr"/>
    </row>
    <row r="10">
      <c r="A10" s="13" t="inlineStr">
        <is>
          <t>Liu2012_LACounty</t>
        </is>
      </c>
      <c r="B10" s="13" t="inlineStr">
        <is>
          <t>LA County (SEER)</t>
        </is>
      </c>
      <c r="C10" s="13" t="inlineStr">
        <is>
          <t>2007</t>
        </is>
      </c>
      <c r="D10" s="13" t="inlineStr">
        <is>
          <t>Yes</t>
        </is>
      </c>
      <c r="E10" s="13" t="inlineStr">
        <is>
          <t>Yes</t>
        </is>
      </c>
      <c r="F10" s="13" t="inlineStr">
        <is>
          <t>Yes</t>
        </is>
      </c>
      <c r="G10" s="13" t="inlineStr">
        <is>
          <t>Yes</t>
        </is>
      </c>
      <c r="H10" s="13" t="inlineStr">
        <is>
          <t>Yes</t>
        </is>
      </c>
      <c r="I10" s="13" t="inlineStr">
        <is>
          <t>Yes</t>
        </is>
      </c>
      <c r="J10" s="13" t="inlineStr">
        <is>
          <t>Yes</t>
        </is>
      </c>
      <c r="K10" s="13" t="inlineStr">
        <is>
          <t>Yes</t>
        </is>
      </c>
      <c r="L10" s="13" t="inlineStr">
        <is>
          <t>Yes</t>
        </is>
      </c>
      <c r="M10" s="13" t="inlineStr">
        <is>
          <t>Low</t>
        </is>
      </c>
      <c r="N10"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0" s="15" t="inlineStr"/>
      <c r="P10" s="16" t="inlineStr"/>
      <c r="Q10" s="15" t="inlineStr"/>
    </row>
    <row r="11">
      <c r="A11" s="13" t="inlineStr">
        <is>
          <t>Zahrieh2021_NM-SEER</t>
        </is>
      </c>
      <c r="B11" s="13" t="inlineStr">
        <is>
          <t>New Mexico (SEER)</t>
        </is>
      </c>
      <c r="C11" s="13" t="inlineStr">
        <is>
          <t>2005-2014</t>
        </is>
      </c>
      <c r="D11" s="13" t="inlineStr">
        <is>
          <t>Yes</t>
        </is>
      </c>
      <c r="E11" s="13" t="inlineStr">
        <is>
          <t>Yes</t>
        </is>
      </c>
      <c r="F11" s="13" t="inlineStr">
        <is>
          <t>Yes</t>
        </is>
      </c>
      <c r="G11" s="13" t="inlineStr">
        <is>
          <t>Yes</t>
        </is>
      </c>
      <c r="H11" s="13" t="inlineStr">
        <is>
          <t>Yes</t>
        </is>
      </c>
      <c r="I11" s="13" t="inlineStr">
        <is>
          <t>Yes</t>
        </is>
      </c>
      <c r="J11" s="13" t="inlineStr">
        <is>
          <t>Yes</t>
        </is>
      </c>
      <c r="K11" s="13" t="inlineStr">
        <is>
          <t>Yes</t>
        </is>
      </c>
      <c r="L11" s="13" t="inlineStr">
        <is>
          <t>Yes</t>
        </is>
      </c>
      <c r="M11" s="13" t="inlineStr">
        <is>
          <t>Low</t>
        </is>
      </c>
      <c r="N11"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1" s="15" t="inlineStr"/>
      <c r="P11" s="16" t="inlineStr"/>
      <c r="Q11" s="15" t="inlineStr"/>
    </row>
    <row r="12">
      <c r="A12" s="13" t="inlineStr">
        <is>
          <t>Xu2024_SEER</t>
        </is>
      </c>
      <c r="B12" s="13" t="inlineStr">
        <is>
          <t>SEER</t>
        </is>
      </c>
      <c r="C12" s="13" t="inlineStr">
        <is>
          <t>2000-2019</t>
        </is>
      </c>
      <c r="D12" s="13" t="inlineStr">
        <is>
          <t>Yes</t>
        </is>
      </c>
      <c r="E12" s="13" t="inlineStr">
        <is>
          <t>Yes</t>
        </is>
      </c>
      <c r="F12" s="13" t="inlineStr">
        <is>
          <t>Yes</t>
        </is>
      </c>
      <c r="G12" s="13" t="inlineStr">
        <is>
          <t>Yes</t>
        </is>
      </c>
      <c r="H12" s="13" t="inlineStr">
        <is>
          <t>Yes</t>
        </is>
      </c>
      <c r="I12" s="13" t="inlineStr">
        <is>
          <t>Yes</t>
        </is>
      </c>
      <c r="J12" s="13" t="inlineStr">
        <is>
          <t>Yes</t>
        </is>
      </c>
      <c r="K12" s="13" t="inlineStr">
        <is>
          <t>Yes</t>
        </is>
      </c>
      <c r="L12" s="13" t="inlineStr">
        <is>
          <t>Yes</t>
        </is>
      </c>
      <c r="M12" s="13" t="inlineStr">
        <is>
          <t>Low</t>
        </is>
      </c>
      <c r="N12"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2" s="15" t="inlineStr"/>
      <c r="P12" s="16" t="inlineStr"/>
      <c r="Q12" s="15" t="inlineStr"/>
    </row>
    <row r="13">
      <c r="A13" s="13" t="inlineStr">
        <is>
          <t>Sung2023_USCS</t>
        </is>
      </c>
      <c r="B13" s="13" t="inlineStr">
        <is>
          <t>USCS(NPCR+SEER)</t>
        </is>
      </c>
      <c r="C13" s="13" t="inlineStr">
        <is>
          <t>2015-2019</t>
        </is>
      </c>
      <c r="D13" s="13" t="inlineStr">
        <is>
          <t>Yes</t>
        </is>
      </c>
      <c r="E13" s="13" t="inlineStr">
        <is>
          <t>Yes</t>
        </is>
      </c>
      <c r="F13" s="13" t="inlineStr">
        <is>
          <t>Yes</t>
        </is>
      </c>
      <c r="G13" s="13" t="inlineStr">
        <is>
          <t>Yes</t>
        </is>
      </c>
      <c r="H13" s="13" t="inlineStr">
        <is>
          <t>Yes</t>
        </is>
      </c>
      <c r="I13" s="13" t="inlineStr">
        <is>
          <t>Yes</t>
        </is>
      </c>
      <c r="J13" s="13" t="inlineStr">
        <is>
          <t>Yes</t>
        </is>
      </c>
      <c r="K13" s="13" t="inlineStr">
        <is>
          <t>Yes</t>
        </is>
      </c>
      <c r="L13" s="13" t="inlineStr">
        <is>
          <t>Yes</t>
        </is>
      </c>
      <c r="M13" s="13" t="inlineStr">
        <is>
          <t>Low</t>
        </is>
      </c>
      <c r="N13"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3" s="15" t="inlineStr"/>
      <c r="P13" s="16" t="inlineStr"/>
      <c r="Q13" s="15" t="inlineStr"/>
    </row>
    <row r="14">
      <c r="A14" s="13" t="inlineStr">
        <is>
          <t>Loo2019_HTR</t>
        </is>
      </c>
      <c r="B14" s="13" t="inlineStr">
        <is>
          <t>Hawaii Tumor Registry (SEER)</t>
        </is>
      </c>
      <c r="C14" s="13" t="inlineStr">
        <is>
          <t>2000-2016</t>
        </is>
      </c>
      <c r="D14" s="13" t="inlineStr">
        <is>
          <t>Yes</t>
        </is>
      </c>
      <c r="E14" s="13" t="inlineStr">
        <is>
          <t>Yes</t>
        </is>
      </c>
      <c r="F14" s="13" t="inlineStr">
        <is>
          <t>Yes</t>
        </is>
      </c>
      <c r="G14" s="13" t="inlineStr">
        <is>
          <t>Yes</t>
        </is>
      </c>
      <c r="H14" s="13" t="inlineStr">
        <is>
          <t>Yes</t>
        </is>
      </c>
      <c r="I14" s="13" t="inlineStr">
        <is>
          <t>Yes</t>
        </is>
      </c>
      <c r="J14" s="13" t="inlineStr">
        <is>
          <t>Yes</t>
        </is>
      </c>
      <c r="K14" s="13" t="inlineStr">
        <is>
          <t>Yes</t>
        </is>
      </c>
      <c r="L14" s="13" t="inlineStr">
        <is>
          <t>Yes</t>
        </is>
      </c>
      <c r="M14" s="13" t="inlineStr">
        <is>
          <t>Low</t>
        </is>
      </c>
      <c r="N14"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4" s="15" t="inlineStr"/>
      <c r="P14" s="16" t="inlineStr"/>
      <c r="Q14" s="15" t="inlineStr"/>
    </row>
    <row r="15">
      <c r="A15" s="13" t="inlineStr">
        <is>
          <t>Ellington2022_USCS</t>
        </is>
      </c>
      <c r="B15" s="13" t="inlineStr">
        <is>
          <t>USCS(NPCR+SEER)</t>
        </is>
      </c>
      <c r="C15" s="13" t="inlineStr">
        <is>
          <t>2018</t>
        </is>
      </c>
      <c r="D15" s="13" t="inlineStr">
        <is>
          <t>Yes</t>
        </is>
      </c>
      <c r="E15" s="13" t="inlineStr">
        <is>
          <t>Yes</t>
        </is>
      </c>
      <c r="F15" s="13" t="inlineStr">
        <is>
          <t>Yes</t>
        </is>
      </c>
      <c r="G15" s="13" t="inlineStr">
        <is>
          <t>Yes</t>
        </is>
      </c>
      <c r="H15" s="13" t="inlineStr">
        <is>
          <t>Yes</t>
        </is>
      </c>
      <c r="I15" s="13" t="inlineStr">
        <is>
          <t>Yes</t>
        </is>
      </c>
      <c r="J15" s="13" t="inlineStr">
        <is>
          <t>Yes</t>
        </is>
      </c>
      <c r="K15" s="13" t="inlineStr">
        <is>
          <t>Yes</t>
        </is>
      </c>
      <c r="L15" s="13" t="inlineStr">
        <is>
          <t>Yes</t>
        </is>
      </c>
      <c r="M15" s="13" t="inlineStr">
        <is>
          <t>Low</t>
        </is>
      </c>
      <c r="N15"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5" s="15" t="inlineStr"/>
      <c r="P15" s="16" t="inlineStr"/>
      <c r="Q15" s="15" t="inlineStr"/>
    </row>
    <row r="16">
      <c r="A16" s="13" t="inlineStr">
        <is>
          <t>Cronin2012_VitalSigns_23151952</t>
        </is>
      </c>
      <c r="B16" s="13" t="inlineStr">
        <is>
          <t>USCS(NPCR+SEER)</t>
        </is>
      </c>
      <c r="C16" s="13" t="inlineStr">
        <is>
          <t>2004-2008</t>
        </is>
      </c>
      <c r="D16" s="13" t="inlineStr">
        <is>
          <t>Yes</t>
        </is>
      </c>
      <c r="E16" s="13" t="inlineStr">
        <is>
          <t>Yes</t>
        </is>
      </c>
      <c r="F16" s="13" t="inlineStr">
        <is>
          <t>Yes</t>
        </is>
      </c>
      <c r="G16" s="13" t="inlineStr">
        <is>
          <t>Yes</t>
        </is>
      </c>
      <c r="H16" s="13" t="inlineStr">
        <is>
          <t>Yes</t>
        </is>
      </c>
      <c r="I16" s="13" t="inlineStr">
        <is>
          <t>Yes</t>
        </is>
      </c>
      <c r="J16" s="13" t="inlineStr">
        <is>
          <t>Yes</t>
        </is>
      </c>
      <c r="K16" s="13" t="inlineStr">
        <is>
          <t>Yes</t>
        </is>
      </c>
      <c r="L16" s="13" t="inlineStr">
        <is>
          <t>Yes</t>
        </is>
      </c>
      <c r="M16" s="13" t="inlineStr">
        <is>
          <t>Low</t>
        </is>
      </c>
      <c r="N16"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6" s="15" t="inlineStr"/>
      <c r="P16" s="16" t="inlineStr"/>
      <c r="Q16" s="15" t="inlineStr"/>
    </row>
    <row r="17">
      <c r="A17" s="13" t="inlineStr">
        <is>
          <t>Baquet2008_SEER9</t>
        </is>
      </c>
      <c r="B17" s="13" t="inlineStr">
        <is>
          <t>SEER 9</t>
        </is>
      </c>
      <c r="C17" s="13" t="inlineStr">
        <is>
          <t>1995-2004</t>
        </is>
      </c>
      <c r="D17" s="13" t="inlineStr">
        <is>
          <t>Yes</t>
        </is>
      </c>
      <c r="E17" s="13" t="inlineStr">
        <is>
          <t>Yes</t>
        </is>
      </c>
      <c r="F17" s="13" t="inlineStr">
        <is>
          <t>Yes</t>
        </is>
      </c>
      <c r="G17" s="13" t="inlineStr">
        <is>
          <t>Yes</t>
        </is>
      </c>
      <c r="H17" s="13" t="inlineStr">
        <is>
          <t>Yes</t>
        </is>
      </c>
      <c r="I17" s="13" t="inlineStr">
        <is>
          <t>Yes</t>
        </is>
      </c>
      <c r="J17" s="13" t="inlineStr">
        <is>
          <t>Yes</t>
        </is>
      </c>
      <c r="K17" s="13" t="inlineStr">
        <is>
          <t>Yes</t>
        </is>
      </c>
      <c r="L17" s="13" t="inlineStr">
        <is>
          <t>Yes</t>
        </is>
      </c>
      <c r="M17" s="13" t="inlineStr">
        <is>
          <t>Low</t>
        </is>
      </c>
      <c r="N17"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7" s="15" t="inlineStr"/>
      <c r="P17" s="16" t="inlineStr"/>
      <c r="Q17" s="15" t="inlineStr"/>
    </row>
    <row r="18">
      <c r="A18" s="13" t="inlineStr">
        <is>
          <t>Gleason2012_SEER</t>
        </is>
      </c>
      <c r="B18" s="13" t="inlineStr">
        <is>
          <t>SEER</t>
        </is>
      </c>
      <c r="C18" s="13" t="inlineStr">
        <is>
          <t>2004-2008</t>
        </is>
      </c>
      <c r="D18" s="13" t="inlineStr">
        <is>
          <t>Yes</t>
        </is>
      </c>
      <c r="E18" s="13" t="inlineStr">
        <is>
          <t>Yes</t>
        </is>
      </c>
      <c r="F18" s="13" t="inlineStr">
        <is>
          <t>Yes</t>
        </is>
      </c>
      <c r="G18" s="13" t="inlineStr">
        <is>
          <t>Yes</t>
        </is>
      </c>
      <c r="H18" s="13" t="inlineStr">
        <is>
          <t>Yes</t>
        </is>
      </c>
      <c r="I18" s="13" t="inlineStr">
        <is>
          <t>Yes</t>
        </is>
      </c>
      <c r="J18" s="13" t="inlineStr">
        <is>
          <t>Yes</t>
        </is>
      </c>
      <c r="K18" s="13" t="inlineStr">
        <is>
          <t>Yes</t>
        </is>
      </c>
      <c r="L18" s="13" t="inlineStr">
        <is>
          <t>Yes</t>
        </is>
      </c>
      <c r="M18" s="13" t="inlineStr">
        <is>
          <t>Low</t>
        </is>
      </c>
      <c r="N18"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8" s="15" t="inlineStr"/>
      <c r="P18" s="16" t="inlineStr"/>
      <c r="Q18" s="15" t="inlineStr"/>
    </row>
    <row r="19">
      <c r="A19" s="13" t="inlineStr">
        <is>
          <t>Brinton2008_SEER13</t>
        </is>
      </c>
      <c r="B19" s="13" t="inlineStr">
        <is>
          <t>SEER 13</t>
        </is>
      </c>
      <c r="C19" s="13" t="inlineStr">
        <is>
          <t>1992-2004</t>
        </is>
      </c>
      <c r="D19" s="13" t="inlineStr">
        <is>
          <t>Yes</t>
        </is>
      </c>
      <c r="E19" s="13" t="inlineStr">
        <is>
          <t>Yes</t>
        </is>
      </c>
      <c r="F19" s="13" t="inlineStr">
        <is>
          <t>Yes</t>
        </is>
      </c>
      <c r="G19" s="13" t="inlineStr">
        <is>
          <t>Yes</t>
        </is>
      </c>
      <c r="H19" s="13" t="inlineStr">
        <is>
          <t>Yes</t>
        </is>
      </c>
      <c r="I19" s="13" t="inlineStr">
        <is>
          <t>Yes</t>
        </is>
      </c>
      <c r="J19" s="13" t="inlineStr">
        <is>
          <t>Yes</t>
        </is>
      </c>
      <c r="K19" s="13" t="inlineStr">
        <is>
          <t>Yes</t>
        </is>
      </c>
      <c r="L19" s="13" t="inlineStr">
        <is>
          <t>Yes</t>
        </is>
      </c>
      <c r="M19" s="13" t="inlineStr">
        <is>
          <t>Low</t>
        </is>
      </c>
      <c r="N19"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19" s="15" t="inlineStr"/>
      <c r="P19" s="16" t="inlineStr"/>
      <c r="Q19" s="15" t="inlineStr"/>
    </row>
    <row r="20">
      <c r="A20" s="13" t="inlineStr">
        <is>
          <t>Gomez2026_SEER21</t>
        </is>
      </c>
      <c r="B20" s="13" t="inlineStr">
        <is>
          <t>SEER-21</t>
        </is>
      </c>
      <c r="C20" s="13" t="inlineStr">
        <is>
          <t>2018-2022</t>
        </is>
      </c>
      <c r="D20" s="13" t="inlineStr">
        <is>
          <t>Yes</t>
        </is>
      </c>
      <c r="E20" s="13" t="inlineStr">
        <is>
          <t>Yes</t>
        </is>
      </c>
      <c r="F20" s="13" t="inlineStr">
        <is>
          <t>Yes</t>
        </is>
      </c>
      <c r="G20" s="13" t="inlineStr">
        <is>
          <t>Yes</t>
        </is>
      </c>
      <c r="H20" s="13" t="inlineStr">
        <is>
          <t>Yes</t>
        </is>
      </c>
      <c r="I20" s="13" t="inlineStr">
        <is>
          <t>Yes</t>
        </is>
      </c>
      <c r="J20" s="13" t="inlineStr">
        <is>
          <t>No</t>
        </is>
      </c>
      <c r="K20" s="13" t="inlineStr">
        <is>
          <t>Yes</t>
        </is>
      </c>
      <c r="L20" s="13" t="inlineStr">
        <is>
          <t>Yes</t>
        </is>
      </c>
      <c r="M20" s="13" t="inlineStr">
        <is>
          <t>Moderate</t>
        </is>
      </c>
      <c r="N20"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Q7_measurement:No (unlinked national registry undercounts AI/AN); Q8_analysis:Yes (age-standardized to a stated standard with a reported/computed variance); Q9_response:Yes (not applicable (census-like registry ascertainment))</t>
        </is>
      </c>
      <c r="O20" s="15" t="inlineStr"/>
      <c r="P20" s="16" t="inlineStr"/>
      <c r="Q20" s="15" t="inlineStr"/>
    </row>
    <row r="21">
      <c r="A21" s="13" t="inlineStr">
        <is>
          <t>Gomez2010_CCR</t>
        </is>
      </c>
      <c r="B21" s="13" t="inlineStr">
        <is>
          <t>California Cancer Registry</t>
        </is>
      </c>
      <c r="C21" s="13" t="inlineStr">
        <is>
          <t>1988-2004</t>
        </is>
      </c>
      <c r="D21" s="13" t="inlineStr">
        <is>
          <t>Yes</t>
        </is>
      </c>
      <c r="E21" s="13" t="inlineStr">
        <is>
          <t>Yes</t>
        </is>
      </c>
      <c r="F21" s="13" t="inlineStr">
        <is>
          <t>Yes</t>
        </is>
      </c>
      <c r="G21" s="13" t="inlineStr">
        <is>
          <t>Yes</t>
        </is>
      </c>
      <c r="H21" s="13" t="inlineStr">
        <is>
          <t>Yes</t>
        </is>
      </c>
      <c r="I21" s="13" t="inlineStr">
        <is>
          <t>Yes</t>
        </is>
      </c>
      <c r="J21" s="13" t="inlineStr">
        <is>
          <t>Yes</t>
        </is>
      </c>
      <c r="K21" s="13" t="inlineStr">
        <is>
          <t>Yes</t>
        </is>
      </c>
      <c r="L21" s="13" t="inlineStr">
        <is>
          <t>Yes</t>
        </is>
      </c>
      <c r="M21" s="13" t="inlineStr">
        <is>
          <t>Low</t>
        </is>
      </c>
      <c r="N21"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21" s="15" t="inlineStr"/>
      <c r="P21" s="16" t="inlineStr"/>
      <c r="Q21" s="15" t="inlineStr"/>
    </row>
    <row r="22">
      <c r="A22" s="13" t="inlineStr">
        <is>
          <t>Anderson2008_SEER_19066264</t>
        </is>
      </c>
      <c r="B22" s="13" t="inlineStr">
        <is>
          <t>SEER</t>
        </is>
      </c>
      <c r="C22" s="13" t="inlineStr">
        <is>
          <t>2008</t>
        </is>
      </c>
      <c r="D22" s="13" t="inlineStr">
        <is>
          <t>Yes</t>
        </is>
      </c>
      <c r="E22" s="13" t="inlineStr">
        <is>
          <t>Yes</t>
        </is>
      </c>
      <c r="F22" s="13" t="inlineStr">
        <is>
          <t>Yes</t>
        </is>
      </c>
      <c r="G22" s="13" t="inlineStr">
        <is>
          <t>Yes</t>
        </is>
      </c>
      <c r="H22" s="13" t="inlineStr">
        <is>
          <t>Yes</t>
        </is>
      </c>
      <c r="I22" s="13" t="inlineStr">
        <is>
          <t>Yes</t>
        </is>
      </c>
      <c r="J22" s="13" t="inlineStr">
        <is>
          <t>Yes</t>
        </is>
      </c>
      <c r="K22" s="13" t="inlineStr">
        <is>
          <t>Yes</t>
        </is>
      </c>
      <c r="L22" s="13" t="inlineStr">
        <is>
          <t>Yes</t>
        </is>
      </c>
      <c r="M22" s="13" t="inlineStr">
        <is>
          <t>Low</t>
        </is>
      </c>
      <c r="N22"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22" s="15" t="inlineStr"/>
      <c r="P22" s="16" t="inlineStr"/>
      <c r="Q22" s="15" t="inlineStr"/>
    </row>
    <row r="23">
      <c r="A23" s="13" t="inlineStr">
        <is>
          <t>Kong2020_SEER18</t>
        </is>
      </c>
      <c r="B23" s="13" t="inlineStr">
        <is>
          <t>SEER 18</t>
        </is>
      </c>
      <c r="C23" s="13" t="inlineStr">
        <is>
          <t>2010-2015</t>
        </is>
      </c>
      <c r="D23" s="13" t="inlineStr">
        <is>
          <t>Yes</t>
        </is>
      </c>
      <c r="E23" s="13" t="inlineStr">
        <is>
          <t>Yes</t>
        </is>
      </c>
      <c r="F23" s="13" t="inlineStr">
        <is>
          <t>Yes</t>
        </is>
      </c>
      <c r="G23" s="13" t="inlineStr">
        <is>
          <t>Yes</t>
        </is>
      </c>
      <c r="H23" s="13" t="inlineStr">
        <is>
          <t>Yes</t>
        </is>
      </c>
      <c r="I23" s="13" t="inlineStr">
        <is>
          <t>Yes</t>
        </is>
      </c>
      <c r="J23" s="13" t="inlineStr">
        <is>
          <t>Yes</t>
        </is>
      </c>
      <c r="K23" s="13" t="inlineStr">
        <is>
          <t>Yes</t>
        </is>
      </c>
      <c r="L23" s="13" t="inlineStr">
        <is>
          <t>Yes</t>
        </is>
      </c>
      <c r="M23" s="13" t="inlineStr">
        <is>
          <t>Low</t>
        </is>
      </c>
      <c r="N23"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23" s="15" t="inlineStr"/>
      <c r="P23" s="16" t="inlineStr"/>
      <c r="Q23" s="15" t="inlineStr"/>
    </row>
    <row r="24">
      <c r="A24" s="13" t="inlineStr">
        <is>
          <t>Gomez2017_CCR</t>
        </is>
      </c>
      <c r="B24" s="13" t="inlineStr">
        <is>
          <t>California Cancer Registry</t>
        </is>
      </c>
      <c r="C24" s="13" t="inlineStr">
        <is>
          <t>2009-2013</t>
        </is>
      </c>
      <c r="D24" s="13" t="inlineStr">
        <is>
          <t>Yes</t>
        </is>
      </c>
      <c r="E24" s="13" t="inlineStr">
        <is>
          <t>Yes</t>
        </is>
      </c>
      <c r="F24" s="13" t="inlineStr">
        <is>
          <t>Yes</t>
        </is>
      </c>
      <c r="G24" s="13" t="inlineStr">
        <is>
          <t>Yes</t>
        </is>
      </c>
      <c r="H24" s="13" t="inlineStr">
        <is>
          <t>Yes</t>
        </is>
      </c>
      <c r="I24" s="13" t="inlineStr">
        <is>
          <t>Yes</t>
        </is>
      </c>
      <c r="J24" s="13" t="inlineStr">
        <is>
          <t>Yes</t>
        </is>
      </c>
      <c r="K24" s="13" t="inlineStr">
        <is>
          <t>Yes</t>
        </is>
      </c>
      <c r="L24" s="13" t="inlineStr">
        <is>
          <t>Yes</t>
        </is>
      </c>
      <c r="M24" s="13" t="inlineStr">
        <is>
          <t>Low</t>
        </is>
      </c>
      <c r="N24"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24" s="15" t="inlineStr"/>
      <c r="P24" s="16" t="inlineStr"/>
      <c r="Q24" s="15" t="inlineStr"/>
    </row>
    <row r="25">
      <c r="A25" s="13" t="inlineStr">
        <is>
          <t>Keegan2010_CCR</t>
        </is>
      </c>
      <c r="B25" s="13" t="inlineStr">
        <is>
          <t>California Cancer Registry</t>
        </is>
      </c>
      <c r="C25" s="13" t="inlineStr">
        <is>
          <t>1988-2004</t>
        </is>
      </c>
      <c r="D25" s="13" t="inlineStr">
        <is>
          <t>Yes</t>
        </is>
      </c>
      <c r="E25" s="13" t="inlineStr">
        <is>
          <t>Yes</t>
        </is>
      </c>
      <c r="F25" s="13" t="inlineStr">
        <is>
          <t>Yes</t>
        </is>
      </c>
      <c r="G25" s="13" t="inlineStr">
        <is>
          <t>Yes</t>
        </is>
      </c>
      <c r="H25" s="13" t="inlineStr">
        <is>
          <t>Yes</t>
        </is>
      </c>
      <c r="I25" s="13" t="inlineStr">
        <is>
          <t>Yes</t>
        </is>
      </c>
      <c r="J25" s="13" t="inlineStr">
        <is>
          <t>Yes</t>
        </is>
      </c>
      <c r="K25" s="13" t="inlineStr">
        <is>
          <t>Yes</t>
        </is>
      </c>
      <c r="L25" s="13" t="inlineStr">
        <is>
          <t>Yes</t>
        </is>
      </c>
      <c r="M25" s="13" t="inlineStr">
        <is>
          <t>Low</t>
        </is>
      </c>
      <c r="N25"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25" s="15" t="inlineStr"/>
      <c r="P25" s="16" t="inlineStr"/>
      <c r="Q25" s="15" t="inlineStr"/>
    </row>
    <row r="26">
      <c r="A26" s="13" t="inlineStr">
        <is>
          <t>Richardson2016_27736827</t>
        </is>
      </c>
      <c r="B26" s="13" t="inlineStr">
        <is>
          <t>USCS(NPCR+SEER)</t>
        </is>
      </c>
      <c r="C26" s="13" t="inlineStr">
        <is>
          <t>2011</t>
        </is>
      </c>
      <c r="D26" s="13" t="inlineStr">
        <is>
          <t>Yes</t>
        </is>
      </c>
      <c r="E26" s="13" t="inlineStr">
        <is>
          <t>Yes</t>
        </is>
      </c>
      <c r="F26" s="13" t="inlineStr">
        <is>
          <t>Yes</t>
        </is>
      </c>
      <c r="G26" s="13" t="inlineStr">
        <is>
          <t>Yes</t>
        </is>
      </c>
      <c r="H26" s="13" t="inlineStr">
        <is>
          <t>Yes</t>
        </is>
      </c>
      <c r="I26" s="13" t="inlineStr">
        <is>
          <t>Yes</t>
        </is>
      </c>
      <c r="J26" s="13" t="inlineStr">
        <is>
          <t>Yes</t>
        </is>
      </c>
      <c r="K26" s="13" t="inlineStr">
        <is>
          <t>Yes</t>
        </is>
      </c>
      <c r="L26" s="13" t="inlineStr">
        <is>
          <t>Yes</t>
        </is>
      </c>
      <c r="M26" s="13" t="inlineStr">
        <is>
          <t>Low</t>
        </is>
      </c>
      <c r="N26"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26" s="15" t="inlineStr"/>
      <c r="P26" s="16" t="inlineStr"/>
      <c r="Q26" s="15" t="inlineStr"/>
    </row>
    <row r="27">
      <c r="A27" s="13" t="inlineStr">
        <is>
          <t>Lund2010_AtlantaSEER</t>
        </is>
      </c>
      <c r="B27" s="13" t="inlineStr">
        <is>
          <t>Metropolitan Atlanta (SEER)</t>
        </is>
      </c>
      <c r="C27" s="13" t="inlineStr">
        <is>
          <t>2003-2004</t>
        </is>
      </c>
      <c r="D27" s="13" t="inlineStr">
        <is>
          <t>Yes</t>
        </is>
      </c>
      <c r="E27" s="13" t="inlineStr">
        <is>
          <t>Yes</t>
        </is>
      </c>
      <c r="F27" s="13" t="inlineStr">
        <is>
          <t>Yes</t>
        </is>
      </c>
      <c r="G27" s="13" t="inlineStr">
        <is>
          <t>Yes</t>
        </is>
      </c>
      <c r="H27" s="13" t="inlineStr">
        <is>
          <t>Yes</t>
        </is>
      </c>
      <c r="I27" s="13" t="inlineStr">
        <is>
          <t>Yes</t>
        </is>
      </c>
      <c r="J27" s="13" t="inlineStr">
        <is>
          <t>Yes</t>
        </is>
      </c>
      <c r="K27" s="13" t="inlineStr">
        <is>
          <t>No</t>
        </is>
      </c>
      <c r="L27" s="13" t="inlineStr">
        <is>
          <t>Yes</t>
        </is>
      </c>
      <c r="M27" s="13" t="inlineStr">
        <is>
          <t>Moderate</t>
        </is>
      </c>
      <c r="N27"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Q8_analysis:No (age-adjusted estimate reported as a point value without a variance/CI); Q9_response:Yes (not applicable (census-like registry ascertainment))</t>
        </is>
      </c>
      <c r="O27" s="15" t="inlineStr"/>
      <c r="P27" s="16" t="inlineStr"/>
      <c r="Q27" s="15" t="inlineStr"/>
    </row>
    <row r="28">
      <c r="A28" s="13" t="inlineStr">
        <is>
          <t>Keegan2007_GBACR</t>
        </is>
      </c>
      <c r="B28" s="13" t="inlineStr">
        <is>
          <t>Greater Bay Area (Northern CA, SEER)</t>
        </is>
      </c>
      <c r="C28" s="13" t="inlineStr">
        <is>
          <t>1990-2002</t>
        </is>
      </c>
      <c r="D28" s="13" t="inlineStr">
        <is>
          <t>Yes</t>
        </is>
      </c>
      <c r="E28" s="13" t="inlineStr">
        <is>
          <t>Yes</t>
        </is>
      </c>
      <c r="F28" s="13" t="inlineStr">
        <is>
          <t>Yes</t>
        </is>
      </c>
      <c r="G28" s="13" t="inlineStr">
        <is>
          <t>Yes</t>
        </is>
      </c>
      <c r="H28" s="13" t="inlineStr">
        <is>
          <t>Yes</t>
        </is>
      </c>
      <c r="I28" s="13" t="inlineStr">
        <is>
          <t>Yes</t>
        </is>
      </c>
      <c r="J28" s="13" t="inlineStr">
        <is>
          <t>Yes</t>
        </is>
      </c>
      <c r="K28" s="13" t="inlineStr">
        <is>
          <t>Yes</t>
        </is>
      </c>
      <c r="L28" s="13" t="inlineStr">
        <is>
          <t>Yes</t>
        </is>
      </c>
      <c r="M28" s="13" t="inlineStr">
        <is>
          <t>Low</t>
        </is>
      </c>
      <c r="N28"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28" s="15" t="inlineStr"/>
      <c r="P28" s="16" t="inlineStr"/>
      <c r="Q28" s="15" t="inlineStr"/>
    </row>
    <row r="29">
      <c r="A29" s="13" t="inlineStr">
        <is>
          <t>Harper2009_SEER</t>
        </is>
      </c>
      <c r="B29" s="13" t="inlineStr">
        <is>
          <t>SEER</t>
        </is>
      </c>
      <c r="C29" s="13" t="inlineStr">
        <is>
          <t>2004</t>
        </is>
      </c>
      <c r="D29" s="13" t="inlineStr">
        <is>
          <t>Yes</t>
        </is>
      </c>
      <c r="E29" s="13" t="inlineStr">
        <is>
          <t>Yes</t>
        </is>
      </c>
      <c r="F29" s="13" t="inlineStr">
        <is>
          <t>Yes</t>
        </is>
      </c>
      <c r="G29" s="13" t="inlineStr">
        <is>
          <t>Yes</t>
        </is>
      </c>
      <c r="H29" s="13" t="inlineStr">
        <is>
          <t>Yes</t>
        </is>
      </c>
      <c r="I29" s="13" t="inlineStr">
        <is>
          <t>Yes</t>
        </is>
      </c>
      <c r="J29" s="13" t="inlineStr">
        <is>
          <t>Yes</t>
        </is>
      </c>
      <c r="K29" s="13" t="inlineStr">
        <is>
          <t>No</t>
        </is>
      </c>
      <c r="L29" s="13" t="inlineStr">
        <is>
          <t>Yes</t>
        </is>
      </c>
      <c r="M29" s="13" t="inlineStr">
        <is>
          <t>Moderate</t>
        </is>
      </c>
      <c r="N29"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Q8_analysis:No (age-adjusted estimate reported as a point value without a variance/CI); Q9_response:Yes (not applicable (census-like registry ascertainment))</t>
        </is>
      </c>
      <c r="O29" s="15" t="inlineStr"/>
      <c r="P29" s="16" t="inlineStr"/>
      <c r="Q29" s="15" t="inlineStr"/>
    </row>
    <row r="30">
      <c r="A30" s="13" t="inlineStr">
        <is>
          <t>Gopalani2020_31764279</t>
        </is>
      </c>
      <c r="B30" s="13" t="inlineStr">
        <is>
          <t>IHS-linked</t>
        </is>
      </c>
      <c r="C30" s="13" t="inlineStr">
        <is>
          <t>1999-2015</t>
        </is>
      </c>
      <c r="D30" s="13" t="inlineStr">
        <is>
          <t>Yes</t>
        </is>
      </c>
      <c r="E30" s="13" t="inlineStr">
        <is>
          <t>Yes</t>
        </is>
      </c>
      <c r="F30" s="13" t="inlineStr">
        <is>
          <t>Yes</t>
        </is>
      </c>
      <c r="G30" s="13" t="inlineStr">
        <is>
          <t>Yes</t>
        </is>
      </c>
      <c r="H30" s="13" t="inlineStr">
        <is>
          <t>Yes</t>
        </is>
      </c>
      <c r="I30" s="13" t="inlineStr">
        <is>
          <t>Yes</t>
        </is>
      </c>
      <c r="J30" s="13" t="inlineStr">
        <is>
          <t>Yes</t>
        </is>
      </c>
      <c r="K30" s="13" t="inlineStr">
        <is>
          <t>Yes</t>
        </is>
      </c>
      <c r="L30" s="13" t="inlineStr">
        <is>
          <t>Yes</t>
        </is>
      </c>
      <c r="M30" s="13" t="inlineStr">
        <is>
          <t>Low</t>
        </is>
      </c>
      <c r="N30"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(IHS/tribal registry linkage (validated AI/AN classification)); Q8_analysis:Yes (age-standardized to a stated standard with a reported/computed variance); Q9_response:Yes (not applicable (census-like registry ascertainment))</t>
        </is>
      </c>
      <c r="O30" s="15" t="inlineStr"/>
      <c r="P30" s="16" t="inlineStr"/>
      <c r="Q30" s="15" t="inlineStr"/>
    </row>
    <row r="31">
      <c r="A31" s="13" t="inlineStr">
        <is>
          <t>Ihenacho2023_HTR</t>
        </is>
      </c>
      <c r="B31" s="13" t="inlineStr">
        <is>
          <t>Hawaii Tumor Registry (SEER)</t>
        </is>
      </c>
      <c r="C31" s="13" t="inlineStr">
        <is>
          <t>2010-2014</t>
        </is>
      </c>
      <c r="D31" s="13" t="inlineStr">
        <is>
          <t>Yes</t>
        </is>
      </c>
      <c r="E31" s="13" t="inlineStr">
        <is>
          <t>Yes</t>
        </is>
      </c>
      <c r="F31" s="13" t="inlineStr">
        <is>
          <t>Yes</t>
        </is>
      </c>
      <c r="G31" s="13" t="inlineStr">
        <is>
          <t>Yes</t>
        </is>
      </c>
      <c r="H31" s="13" t="inlineStr">
        <is>
          <t>Yes</t>
        </is>
      </c>
      <c r="I31" s="13" t="inlineStr">
        <is>
          <t>Yes</t>
        </is>
      </c>
      <c r="J31" s="13" t="inlineStr">
        <is>
          <t>Yes</t>
        </is>
      </c>
      <c r="K31" s="13" t="inlineStr">
        <is>
          <t>Yes</t>
        </is>
      </c>
      <c r="L31" s="13" t="inlineStr">
        <is>
          <t>Yes</t>
        </is>
      </c>
      <c r="M31" s="13" t="inlineStr">
        <is>
          <t>Low</t>
        </is>
      </c>
      <c r="N31"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31" s="15" t="inlineStr"/>
      <c r="P31" s="16" t="inlineStr"/>
      <c r="Q31" s="15" t="inlineStr"/>
    </row>
    <row r="32">
      <c r="A32" s="13" t="inlineStr">
        <is>
          <t>Nasseri2009</t>
        </is>
      </c>
      <c r="B32" s="13" t="inlineStr">
        <is>
          <t>California-CCR</t>
        </is>
      </c>
      <c r="C32" s="13" t="inlineStr">
        <is>
          <t>1988-2004</t>
        </is>
      </c>
      <c r="D32" s="13" t="inlineStr">
        <is>
          <t>Yes</t>
        </is>
      </c>
      <c r="E32" s="13" t="inlineStr">
        <is>
          <t>Yes</t>
        </is>
      </c>
      <c r="F32" s="13" t="inlineStr">
        <is>
          <t>Yes</t>
        </is>
      </c>
      <c r="G32" s="13" t="inlineStr">
        <is>
          <t>Yes</t>
        </is>
      </c>
      <c r="H32" s="13" t="inlineStr">
        <is>
          <t>Yes</t>
        </is>
      </c>
      <c r="I32" s="13" t="inlineStr">
        <is>
          <t>Yes</t>
        </is>
      </c>
      <c r="J32" s="13" t="inlineStr">
        <is>
          <t>No</t>
        </is>
      </c>
      <c r="K32" s="13" t="inlineStr">
        <is>
          <t>Yes</t>
        </is>
      </c>
      <c r="L32" s="13" t="inlineStr">
        <is>
          <t>Yes</t>
        </is>
      </c>
      <c r="M32" s="13" t="inlineStr">
        <is>
          <t>Moderate</t>
        </is>
      </c>
      <c r="N32"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Q7_measurement:No (race/ethnicity by surname recognition (misclassification risk)); Q8_analysis:Yes (age-standardized to a stated standard with a reported/computed variance); Q9_response:Yes (not applicable (census-like registry ascertainment))</t>
        </is>
      </c>
      <c r="O32" s="15" t="inlineStr"/>
      <c r="P32" s="16" t="inlineStr"/>
      <c r="Q32" s="15" t="inlineStr"/>
    </row>
    <row r="33">
      <c r="A33" s="13" t="inlineStr">
        <is>
          <t>Goggins2009</t>
        </is>
      </c>
      <c r="B33" s="13" t="inlineStr">
        <is>
          <t>SEER (SF/Seattle/Detroit/Atlanta/CT/LA/SanJose)</t>
        </is>
      </c>
      <c r="C33" s="13" t="inlineStr">
        <is>
          <t>1988-2004</t>
        </is>
      </c>
      <c r="D33" s="13" t="inlineStr">
        <is>
          <t>Yes</t>
        </is>
      </c>
      <c r="E33" s="13" t="inlineStr">
        <is>
          <t>Yes</t>
        </is>
      </c>
      <c r="F33" s="13" t="inlineStr">
        <is>
          <t>Yes</t>
        </is>
      </c>
      <c r="G33" s="13" t="inlineStr">
        <is>
          <t>Yes</t>
        </is>
      </c>
      <c r="H33" s="13" t="inlineStr">
        <is>
          <t>Yes</t>
        </is>
      </c>
      <c r="I33" s="13" t="inlineStr">
        <is>
          <t>Yes</t>
        </is>
      </c>
      <c r="J33" s="13" t="inlineStr">
        <is>
          <t>Yes</t>
        </is>
      </c>
      <c r="K33" s="13" t="inlineStr">
        <is>
          <t>Yes</t>
        </is>
      </c>
      <c r="L33" s="13" t="inlineStr">
        <is>
          <t>Yes</t>
        </is>
      </c>
      <c r="M33" s="13" t="inlineStr">
        <is>
          <t>Low</t>
        </is>
      </c>
      <c r="N33"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33" s="15" t="inlineStr"/>
      <c r="P33" s="16" t="inlineStr"/>
      <c r="Q33" s="15" t="inlineStr"/>
    </row>
    <row r="34">
      <c r="A34" s="13" t="inlineStr">
        <is>
          <t>Yazzie2025_Navajo</t>
        </is>
      </c>
      <c r="B34" s="13" t="inlineStr">
        <is>
          <t>Navajo Nation registry (IHS)</t>
        </is>
      </c>
      <c r="C34" s="13" t="inlineStr">
        <is>
          <t>2014-2018</t>
        </is>
      </c>
      <c r="D34" s="13" t="inlineStr">
        <is>
          <t>Yes</t>
        </is>
      </c>
      <c r="E34" s="13" t="inlineStr">
        <is>
          <t>Yes</t>
        </is>
      </c>
      <c r="F34" s="13" t="inlineStr">
        <is>
          <t>Yes</t>
        </is>
      </c>
      <c r="G34" s="13" t="inlineStr">
        <is>
          <t>Yes</t>
        </is>
      </c>
      <c r="H34" s="13" t="inlineStr">
        <is>
          <t>Yes</t>
        </is>
      </c>
      <c r="I34" s="13" t="inlineStr">
        <is>
          <t>Yes</t>
        </is>
      </c>
      <c r="J34" s="13" t="inlineStr">
        <is>
          <t>Yes</t>
        </is>
      </c>
      <c r="K34" s="13" t="inlineStr">
        <is>
          <t>Yes</t>
        </is>
      </c>
      <c r="L34" s="13" t="inlineStr">
        <is>
          <t>Yes</t>
        </is>
      </c>
      <c r="M34" s="13" t="inlineStr">
        <is>
          <t>Low</t>
        </is>
      </c>
      <c r="N34"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(IHS/tribal registry linkage (validated AI/AN classification)); Q8_analysis:Yes (age-standardized to a stated standard with a reported/computed variance); Q9_response:Yes (not applicable (census-like registry ascertainment))</t>
        </is>
      </c>
      <c r="O34" s="15" t="inlineStr"/>
      <c r="P34" s="16" t="inlineStr"/>
      <c r="Q34" s="15" t="inlineStr"/>
    </row>
    <row r="35">
      <c r="A35" s="13" t="inlineStr">
        <is>
          <t>Xie2022_USCS</t>
        </is>
      </c>
      <c r="B35" s="13" t="inlineStr">
        <is>
          <t>USCS(NPCR+SEER)</t>
        </is>
      </c>
      <c r="C35" s="13" t="inlineStr">
        <is>
          <t>1999-2017</t>
        </is>
      </c>
      <c r="D35" s="13" t="inlineStr">
        <is>
          <t>Yes</t>
        </is>
      </c>
      <c r="E35" s="13" t="inlineStr">
        <is>
          <t>Yes</t>
        </is>
      </c>
      <c r="F35" s="13" t="inlineStr">
        <is>
          <t>Yes</t>
        </is>
      </c>
      <c r="G35" s="13" t="inlineStr">
        <is>
          <t>Yes</t>
        </is>
      </c>
      <c r="H35" s="13" t="inlineStr">
        <is>
          <t>Yes</t>
        </is>
      </c>
      <c r="I35" s="13" t="inlineStr">
        <is>
          <t>Yes</t>
        </is>
      </c>
      <c r="J35" s="13" t="inlineStr">
        <is>
          <t>Yes</t>
        </is>
      </c>
      <c r="K35" s="13" t="inlineStr">
        <is>
          <t>Yes</t>
        </is>
      </c>
      <c r="L35" s="13" t="inlineStr">
        <is>
          <t>Yes</t>
        </is>
      </c>
      <c r="M35" s="13" t="inlineStr">
        <is>
          <t>Low</t>
        </is>
      </c>
      <c r="N35"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35" s="15" t="inlineStr"/>
      <c r="P35" s="16" t="inlineStr"/>
      <c r="Q35" s="15" t="inlineStr"/>
    </row>
    <row r="36">
      <c r="A36" s="13" t="inlineStr">
        <is>
          <t>Sung2020_USCS50</t>
        </is>
      </c>
      <c r="B36" s="13" t="inlineStr">
        <is>
          <t>USCS 50-state (NPCR+SEER)</t>
        </is>
      </c>
      <c r="C36" s="13" t="inlineStr">
        <is>
          <t>2011-2015</t>
        </is>
      </c>
      <c r="D36" s="13" t="inlineStr">
        <is>
          <t>Yes</t>
        </is>
      </c>
      <c r="E36" s="13" t="inlineStr">
        <is>
          <t>Yes</t>
        </is>
      </c>
      <c r="F36" s="13" t="inlineStr">
        <is>
          <t>Yes</t>
        </is>
      </c>
      <c r="G36" s="13" t="inlineStr">
        <is>
          <t>Yes</t>
        </is>
      </c>
      <c r="H36" s="13" t="inlineStr">
        <is>
          <t>Yes</t>
        </is>
      </c>
      <c r="I36" s="13" t="inlineStr">
        <is>
          <t>Yes</t>
        </is>
      </c>
      <c r="J36" s="13" t="inlineStr">
        <is>
          <t>Yes</t>
        </is>
      </c>
      <c r="K36" s="13" t="inlineStr">
        <is>
          <t>Yes</t>
        </is>
      </c>
      <c r="L36" s="13" t="inlineStr">
        <is>
          <t>Yes</t>
        </is>
      </c>
      <c r="M36" s="13" t="inlineStr">
        <is>
          <t>Low</t>
        </is>
      </c>
      <c r="N36"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36" s="15" t="inlineStr"/>
      <c r="P36" s="16" t="inlineStr"/>
      <c r="Q36" s="15" t="inlineStr"/>
    </row>
    <row r="37">
      <c r="A37" s="13" t="inlineStr">
        <is>
          <t>Melkonian2019_IHS-PRCDA</t>
        </is>
      </c>
      <c r="B37" s="13" t="inlineStr">
        <is>
          <t>IHS-linked (NPCR/SEER, PRCDA)</t>
        </is>
      </c>
      <c r="C37" s="13" t="inlineStr">
        <is>
          <t>2012-2016</t>
        </is>
      </c>
      <c r="D37" s="13" t="inlineStr">
        <is>
          <t>Yes</t>
        </is>
      </c>
      <c r="E37" s="13" t="inlineStr">
        <is>
          <t>Yes</t>
        </is>
      </c>
      <c r="F37" s="13" t="inlineStr">
        <is>
          <t>Yes</t>
        </is>
      </c>
      <c r="G37" s="13" t="inlineStr">
        <is>
          <t>Yes</t>
        </is>
      </c>
      <c r="H37" s="13" t="inlineStr">
        <is>
          <t>Yes</t>
        </is>
      </c>
      <c r="I37" s="13" t="inlineStr">
        <is>
          <t>Yes</t>
        </is>
      </c>
      <c r="J37" s="13" t="inlineStr">
        <is>
          <t>Yes</t>
        </is>
      </c>
      <c r="K37" s="13" t="inlineStr">
        <is>
          <t>Yes</t>
        </is>
      </c>
      <c r="L37" s="13" t="inlineStr">
        <is>
          <t>Yes</t>
        </is>
      </c>
      <c r="M37" s="13" t="inlineStr">
        <is>
          <t>Low</t>
        </is>
      </c>
      <c r="N37"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(IHS/tribal registry linkage (validated AI/AN classification)); Q8_analysis:Yes (age-standardized to a stated standard with a reported/computed variance); Q9_response:Yes (not applicable (census-like registry ascertainment))</t>
        </is>
      </c>
      <c r="O37" s="15" t="inlineStr"/>
      <c r="P37" s="16" t="inlineStr"/>
      <c r="Q37" s="15" t="inlineStr"/>
    </row>
    <row r="38">
      <c r="A38" s="13" t="inlineStr">
        <is>
          <t>Pinheiro2009_FL</t>
        </is>
      </c>
      <c r="B38" s="13" t="inlineStr">
        <is>
          <t>Florida Cancer Registry</t>
        </is>
      </c>
      <c r="C38" s="13" t="inlineStr">
        <is>
          <t>1999-2001</t>
        </is>
      </c>
      <c r="D38" s="13" t="inlineStr">
        <is>
          <t>Yes</t>
        </is>
      </c>
      <c r="E38" s="13" t="inlineStr">
        <is>
          <t>Yes</t>
        </is>
      </c>
      <c r="F38" s="13" t="inlineStr">
        <is>
          <t>Yes</t>
        </is>
      </c>
      <c r="G38" s="13" t="inlineStr">
        <is>
          <t>Yes</t>
        </is>
      </c>
      <c r="H38" s="13" t="inlineStr">
        <is>
          <t>Yes</t>
        </is>
      </c>
      <c r="I38" s="13" t="inlineStr">
        <is>
          <t>Yes</t>
        </is>
      </c>
      <c r="J38" s="13" t="inlineStr">
        <is>
          <t>Yes</t>
        </is>
      </c>
      <c r="K38" s="13" t="inlineStr">
        <is>
          <t>Yes</t>
        </is>
      </c>
      <c r="L38" s="13" t="inlineStr">
        <is>
          <t>Yes</t>
        </is>
      </c>
      <c r="M38" s="13" t="inlineStr">
        <is>
          <t>Low</t>
        </is>
      </c>
      <c r="N38"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38" s="15" t="inlineStr"/>
      <c r="P38" s="16" t="inlineStr"/>
      <c r="Q38" s="15" t="inlineStr"/>
    </row>
    <row r="39">
      <c r="A39" s="13" t="inlineStr">
        <is>
          <t>Kem2007</t>
        </is>
      </c>
      <c r="B39" s="13" t="inlineStr">
        <is>
          <t>California-CCR + Puget Sound (SEER)</t>
        </is>
      </c>
      <c r="C39" s="13" t="inlineStr">
        <is>
          <t>1998-2002</t>
        </is>
      </c>
      <c r="D39" s="13" t="inlineStr">
        <is>
          <t>Yes</t>
        </is>
      </c>
      <c r="E39" s="13" t="inlineStr">
        <is>
          <t>Yes</t>
        </is>
      </c>
      <c r="F39" s="13" t="inlineStr">
        <is>
          <t>Yes</t>
        </is>
      </c>
      <c r="G39" s="13" t="inlineStr">
        <is>
          <t>Yes</t>
        </is>
      </c>
      <c r="H39" s="13" t="inlineStr">
        <is>
          <t>Yes</t>
        </is>
      </c>
      <c r="I39" s="13" t="inlineStr">
        <is>
          <t>Yes</t>
        </is>
      </c>
      <c r="J39" s="13" t="inlineStr">
        <is>
          <t>No</t>
        </is>
      </c>
      <c r="K39" s="13" t="inlineStr">
        <is>
          <t>Yes</t>
        </is>
      </c>
      <c r="L39" s="13" t="inlineStr">
        <is>
          <t>Yes</t>
        </is>
      </c>
      <c r="M39" s="13" t="inlineStr">
        <is>
          <t>Moderate</t>
        </is>
      </c>
      <c r="N39"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Q7_measurement:No (race/ethnicity by surname recognition (misclassification risk)); Q8_analysis:Yes (age-standardized to a stated standard with a reported/computed variance); Q9_response:Yes (not applicable (census-like registry ascertainment))</t>
        </is>
      </c>
      <c r="O39" s="15" t="inlineStr"/>
      <c r="P39" s="16" t="inlineStr"/>
      <c r="Q39" s="15" t="inlineStr"/>
    </row>
    <row r="40">
      <c r="A40" s="13" t="inlineStr">
        <is>
          <t>Carozza2006_multistate</t>
        </is>
      </c>
      <c r="B40" s="13" t="inlineStr">
        <is>
          <t>Multi-state registries (NAACCR)</t>
        </is>
      </c>
      <c r="C40" s="13" t="inlineStr">
        <is>
          <t>1995-2000</t>
        </is>
      </c>
      <c r="D40" s="13" t="inlineStr">
        <is>
          <t>Yes</t>
        </is>
      </c>
      <c r="E40" s="13" t="inlineStr">
        <is>
          <t>Yes</t>
        </is>
      </c>
      <c r="F40" s="13" t="inlineStr">
        <is>
          <t>Yes</t>
        </is>
      </c>
      <c r="G40" s="13" t="inlineStr">
        <is>
          <t>Yes</t>
        </is>
      </c>
      <c r="H40" s="13" t="inlineStr">
        <is>
          <t>Yes</t>
        </is>
      </c>
      <c r="I40" s="13" t="inlineStr">
        <is>
          <t>Yes</t>
        </is>
      </c>
      <c r="J40" s="13" t="inlineStr">
        <is>
          <t>Yes</t>
        </is>
      </c>
      <c r="K40" s="13" t="inlineStr">
        <is>
          <t>Yes</t>
        </is>
      </c>
      <c r="L40" s="13" t="inlineStr">
        <is>
          <t>Yes</t>
        </is>
      </c>
      <c r="M40" s="13" t="inlineStr">
        <is>
          <t>Low</t>
        </is>
      </c>
      <c r="N40"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40" s="15" t="inlineStr"/>
      <c r="P40" s="16" t="inlineStr"/>
      <c r="Q40" s="15" t="inlineStr"/>
    </row>
    <row r="41">
      <c r="A41" s="13" t="inlineStr">
        <is>
          <t>Gomez2003_SEERplusCCR</t>
        </is>
      </c>
      <c r="B41" s="13" t="inlineStr">
        <is>
          <t>SEER + California CR</t>
        </is>
      </c>
      <c r="C41" s="13" t="inlineStr">
        <is>
          <t>1988-1992</t>
        </is>
      </c>
      <c r="D41" s="13" t="inlineStr">
        <is>
          <t>Yes</t>
        </is>
      </c>
      <c r="E41" s="13" t="inlineStr">
        <is>
          <t>Yes</t>
        </is>
      </c>
      <c r="F41" s="13" t="inlineStr">
        <is>
          <t>Yes</t>
        </is>
      </c>
      <c r="G41" s="13" t="inlineStr">
        <is>
          <t>Yes</t>
        </is>
      </c>
      <c r="H41" s="13" t="inlineStr">
        <is>
          <t>Yes</t>
        </is>
      </c>
      <c r="I41" s="13" t="inlineStr">
        <is>
          <t>Yes</t>
        </is>
      </c>
      <c r="J41" s="13" t="inlineStr">
        <is>
          <t>Yes</t>
        </is>
      </c>
      <c r="K41" s="13" t="inlineStr">
        <is>
          <t>Yes</t>
        </is>
      </c>
      <c r="L41" s="13" t="inlineStr">
        <is>
          <t>Yes</t>
        </is>
      </c>
      <c r="M41" s="13" t="inlineStr">
        <is>
          <t>Low</t>
        </is>
      </c>
      <c r="N41"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41" s="15" t="inlineStr"/>
      <c r="P41" s="16" t="inlineStr"/>
      <c r="Q41" s="15" t="inlineStr"/>
    </row>
    <row r="42">
      <c r="A42" s="13" t="inlineStr">
        <is>
          <t>Melkonian2021_IHS-PRCDA</t>
        </is>
      </c>
      <c r="B42" s="13" t="inlineStr">
        <is>
          <t>IHS-linked (NPCR/SEER, PRCDA)</t>
        </is>
      </c>
      <c r="C42" s="13" t="inlineStr">
        <is>
          <t>2012-2016</t>
        </is>
      </c>
      <c r="D42" s="13" t="inlineStr">
        <is>
          <t>Yes</t>
        </is>
      </c>
      <c r="E42" s="13" t="inlineStr">
        <is>
          <t>Yes</t>
        </is>
      </c>
      <c r="F42" s="13" t="inlineStr">
        <is>
          <t>Yes</t>
        </is>
      </c>
      <c r="G42" s="13" t="inlineStr">
        <is>
          <t>Yes</t>
        </is>
      </c>
      <c r="H42" s="13" t="inlineStr">
        <is>
          <t>Yes</t>
        </is>
      </c>
      <c r="I42" s="13" t="inlineStr">
        <is>
          <t>Yes</t>
        </is>
      </c>
      <c r="J42" s="13" t="inlineStr">
        <is>
          <t>Yes</t>
        </is>
      </c>
      <c r="K42" s="13" t="inlineStr">
        <is>
          <t>Yes</t>
        </is>
      </c>
      <c r="L42" s="13" t="inlineStr">
        <is>
          <t>Yes</t>
        </is>
      </c>
      <c r="M42" s="13" t="inlineStr">
        <is>
          <t>Low</t>
        </is>
      </c>
      <c r="N42"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(IHS/tribal registry linkage (validated AI/AN classification)); Q8_analysis:Yes (age-standardized to a stated standard with a reported/computed variance); Q9_response:Yes (not applicable (census-like registry ascertainment))</t>
        </is>
      </c>
      <c r="O42" s="15" t="inlineStr"/>
      <c r="P42" s="16" t="inlineStr"/>
      <c r="Q42" s="15" t="inlineStr"/>
    </row>
    <row r="43">
      <c r="A43" s="13" t="inlineStr">
        <is>
          <t>Miller2008_NAACCR-API</t>
        </is>
      </c>
      <c r="B43" s="13" t="inlineStr">
        <is>
          <t>NAACCR/SEER API (state+SEER registries)</t>
        </is>
      </c>
      <c r="C43" s="13" t="inlineStr">
        <is>
          <t>1998-2002</t>
        </is>
      </c>
      <c r="D43" s="13" t="inlineStr">
        <is>
          <t>Yes</t>
        </is>
      </c>
      <c r="E43" s="13" t="inlineStr">
        <is>
          <t>Yes</t>
        </is>
      </c>
      <c r="F43" s="13" t="inlineStr">
        <is>
          <t>Yes</t>
        </is>
      </c>
      <c r="G43" s="13" t="inlineStr">
        <is>
          <t>Yes</t>
        </is>
      </c>
      <c r="H43" s="13" t="inlineStr">
        <is>
          <t>Yes</t>
        </is>
      </c>
      <c r="I43" s="13" t="inlineStr">
        <is>
          <t>Yes</t>
        </is>
      </c>
      <c r="J43" s="13" t="inlineStr">
        <is>
          <t>Yes</t>
        </is>
      </c>
      <c r="K43" s="13" t="inlineStr">
        <is>
          <t>Yes</t>
        </is>
      </c>
      <c r="L43" s="13" t="inlineStr">
        <is>
          <t>Yes</t>
        </is>
      </c>
      <c r="M43" s="13" t="inlineStr">
        <is>
          <t>Low</t>
        </is>
      </c>
      <c r="N43"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43" s="15" t="inlineStr"/>
      <c r="P43" s="16" t="inlineStr"/>
      <c r="Q43" s="15" t="inlineStr"/>
    </row>
    <row r="44">
      <c r="A44" s="13" t="inlineStr">
        <is>
          <t>McCracken2007_CCR</t>
        </is>
      </c>
      <c r="B44" s="13" t="inlineStr">
        <is>
          <t>California Cancer Registry</t>
        </is>
      </c>
      <c r="C44" s="13" t="inlineStr">
        <is>
          <t>2000-2002</t>
        </is>
      </c>
      <c r="D44" s="13" t="inlineStr">
        <is>
          <t>Yes</t>
        </is>
      </c>
      <c r="E44" s="13" t="inlineStr">
        <is>
          <t>Yes</t>
        </is>
      </c>
      <c r="F44" s="13" t="inlineStr">
        <is>
          <t>Yes</t>
        </is>
      </c>
      <c r="G44" s="13" t="inlineStr">
        <is>
          <t>Yes</t>
        </is>
      </c>
      <c r="H44" s="13" t="inlineStr">
        <is>
          <t>Yes</t>
        </is>
      </c>
      <c r="I44" s="13" t="inlineStr">
        <is>
          <t>Yes</t>
        </is>
      </c>
      <c r="J44" s="13" t="inlineStr">
        <is>
          <t>Yes</t>
        </is>
      </c>
      <c r="K44" s="13" t="inlineStr">
        <is>
          <t>No</t>
        </is>
      </c>
      <c r="L44" s="13" t="inlineStr">
        <is>
          <t>Yes</t>
        </is>
      </c>
      <c r="M44" s="13" t="inlineStr">
        <is>
          <t>Moderate</t>
        </is>
      </c>
      <c r="N44"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Q8_analysis:No (age-adjusted estimate reported as a point value without a variance/CI); Q9_response:Yes (not applicable (census-like registry ascertainment))</t>
        </is>
      </c>
      <c r="O44" s="15" t="inlineStr"/>
      <c r="P44" s="16" t="inlineStr"/>
      <c r="Q44" s="15" t="inlineStr"/>
    </row>
    <row r="45">
      <c r="A45" s="13" t="inlineStr">
        <is>
          <t>Wilkinson2002</t>
        </is>
      </c>
      <c r="B45" s="13" t="inlineStr">
        <is>
          <t>Florida (Miami-Dade FCDS)</t>
        </is>
      </c>
      <c r="C45" s="13" t="inlineStr">
        <is>
          <t>1990-1998</t>
        </is>
      </c>
      <c r="D45" s="13" t="inlineStr">
        <is>
          <t>Yes</t>
        </is>
      </c>
      <c r="E45" s="13" t="inlineStr">
        <is>
          <t>Yes</t>
        </is>
      </c>
      <c r="F45" s="13" t="inlineStr">
        <is>
          <t>Yes</t>
        </is>
      </c>
      <c r="G45" s="13" t="inlineStr">
        <is>
          <t>Yes</t>
        </is>
      </c>
      <c r="H45" s="13" t="inlineStr">
        <is>
          <t>Yes</t>
        </is>
      </c>
      <c r="I45" s="13" t="inlineStr">
        <is>
          <t>Yes</t>
        </is>
      </c>
      <c r="J45" s="13" t="inlineStr">
        <is>
          <t>Yes</t>
        </is>
      </c>
      <c r="K45" s="13" t="inlineStr">
        <is>
          <t>Yes</t>
        </is>
      </c>
      <c r="L45" s="13" t="inlineStr">
        <is>
          <t>Yes</t>
        </is>
      </c>
      <c r="M45" s="13" t="inlineStr">
        <is>
          <t>Low</t>
        </is>
      </c>
      <c r="N45" s="13" t="inlineStr">
        <is>
          <t>Q1_frame:Yes (population-based cancer registry covering a defined population); Q2_sampling:Yes (registry ascertains all diagnosed cases (census-like)); Q3_size:Yes (national/multi-registry or adequate case count for a stable rate); Q4_described:Yes (registry, diagnosis period, groups and standard population described); Q5_coverage:Yes (high-completeness registry); Q6_condition:Yes (invasive breast cancer via registry/pathology record linkage); Q7_measurement:Yes (standard registry race/ethnicity coding; ICD-O condition coding); Q8_analysis:Yes (age-standardized to a stated standard with a reported/computed variance); Q9_response:Yes (not applicable (census-like registry ascertainment))</t>
        </is>
      </c>
      <c r="O45" s="15" t="inlineStr"/>
      <c r="P45" s="16" t="inlineStr"/>
      <c r="Q45" s="15" t="inlineStr"/>
    </row>
  </sheetData>
  <autoFilter ref="A1:Q45"/>
  <dataValidations count="2">
    <dataValidation sqref="O3:O45" showDropDown="0" showInputMessage="0" showErrorMessage="0" allowBlank="1" type="list">
      <formula1>"Yes,No"</formula1>
    </dataValidation>
    <dataValidation sqref="P3:P45" showDropDown="0" showInputMessage="0" showErrorMessage="0" allowBlank="1" type="list">
      <formula1>"Low,Moderate,High"</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6" customWidth="1" min="3" max="3"/>
    <col width="11" customWidth="1" min="4" max="4"/>
    <col width="22" customWidth="1" min="5" max="5"/>
    <col width="30" customWidth="1" min="6" max="6"/>
    <col width="16" customWidth="1" min="7" max="7"/>
    <col width="16" customWidth="1" min="8" max="8"/>
    <col width="26" customWidth="1" min="9" max="9"/>
  </cols>
  <sheetData>
    <row r="1" ht="34" customHeight="1">
      <c r="A1" s="10" t="inlineStr">
        <is>
          <t>record_id</t>
        </is>
      </c>
      <c r="B1" s="10" t="inlineStr">
        <is>
          <t>Current decision (AI)</t>
        </is>
      </c>
      <c r="C1" s="10" t="inlineStr">
        <is>
          <t>Citation / title</t>
        </is>
      </c>
      <c r="D1" s="10" t="inlineStr">
        <is>
          <t>PMID</t>
        </is>
      </c>
      <c r="E1" s="10" t="inlineStr">
        <is>
          <t>DOI</t>
        </is>
      </c>
      <c r="F1" s="10" t="inlineStr">
        <is>
          <t>Risk</t>
        </is>
      </c>
      <c r="G1" s="10" t="inlineStr">
        <is>
          <t>AUTHOR obtained full text? (Yes/No)</t>
        </is>
      </c>
      <c r="H1" s="10" t="inlineStr">
        <is>
          <t>AUTHOR final decision (Include/Exclude)</t>
        </is>
      </c>
      <c r="I1" s="10" t="inlineStr">
        <is>
          <t>AUTHOR note</t>
        </is>
      </c>
    </row>
    <row r="2">
      <c r="A2" s="11" t="inlineStr">
        <is>
          <t>e.g. 2038</t>
        </is>
      </c>
      <c r="B2" s="11" t="inlineStr">
        <is>
          <t>EXCLUDED (Full text unavailable)</t>
        </is>
      </c>
      <c r="C2" s="12" t="inlineStr">
        <is>
          <t>Incidence trends in TNBC...</t>
        </is>
      </c>
      <c r="D2" s="11" t="inlineStr"/>
      <c r="E2" s="11" t="inlineStr"/>
      <c r="F2" s="12" t="inlineStr">
        <is>
          <t>HIGH — not retrieved (possible missed study)</t>
        </is>
      </c>
      <c r="G2" s="11" t="inlineStr">
        <is>
          <t>Yes</t>
        </is>
      </c>
      <c r="H2" s="11" t="inlineStr">
        <is>
          <t>Exclude</t>
        </is>
      </c>
      <c r="I2" s="12" t="inlineStr">
        <is>
          <t>overlaps Sung 2023</t>
        </is>
      </c>
    </row>
    <row r="3">
      <c r="A3" s="13" t="inlineStr">
        <is>
          <t>155</t>
        </is>
      </c>
      <c r="B3" s="13" t="inlineStr">
        <is>
          <t>INCLUDED (quant-extracted)</t>
        </is>
      </c>
      <c r="C3" s="14" t="inlineStr">
        <is>
          <t>State Variation in Racial and Ethnic Disparities in Incidence of Triple-Negative Breast Cancer among US Women (2023)</t>
        </is>
      </c>
      <c r="D3" s="13" t="inlineStr">
        <is>
          <t>36862439</t>
        </is>
      </c>
      <c r="E3" s="13" t="inlineStr">
        <is>
          <t>10.1001/jamaoncol.2022.7835</t>
        </is>
      </c>
      <c r="F3" s="14" t="inlineStr">
        <is>
          <t>HIGH — extracted without main PDF</t>
        </is>
      </c>
      <c r="G3" s="15" t="inlineStr"/>
      <c r="H3" s="15" t="inlineStr"/>
      <c r="I3" s="16" t="inlineStr"/>
    </row>
    <row r="4">
      <c r="A4" s="13" t="inlineStr">
        <is>
          <t>157</t>
        </is>
      </c>
      <c r="B4" s="13" t="inlineStr">
        <is>
          <t>EXCLUDED (Full text unavailable)</t>
        </is>
      </c>
      <c r="C4" s="14" t="inlineStr">
        <is>
          <t>Breast cancer trends among black and white women in the United States (2005)</t>
        </is>
      </c>
      <c r="D4" s="13" t="inlineStr">
        <is>
          <t>16258086</t>
        </is>
      </c>
      <c r="E4" s="13" t="inlineStr">
        <is>
          <t>10.1200/jco.2004.01.0421</t>
        </is>
      </c>
      <c r="F4" s="14" t="inlineStr">
        <is>
          <t>HIGH — not retrieved (possible missed study)</t>
        </is>
      </c>
      <c r="G4" s="15" t="inlineStr"/>
      <c r="H4" s="15" t="inlineStr"/>
      <c r="I4" s="16" t="inlineStr"/>
    </row>
    <row r="5">
      <c r="A5" s="13" t="inlineStr">
        <is>
          <t>253</t>
        </is>
      </c>
      <c r="B5" s="13" t="inlineStr">
        <is>
          <t>EXCLUDED (Full text unavailable)</t>
        </is>
      </c>
      <c r="C5" s="14" t="inlineStr">
        <is>
          <t>Breast cancer patterns and lifetime risk of developing breast cancer among Puerto Rican females. (2000)</t>
        </is>
      </c>
      <c r="D5" s="13" t="inlineStr">
        <is>
          <t>10761199</t>
        </is>
      </c>
      <c r="E5" s="13" t="inlineStr"/>
      <c r="F5" s="14" t="inlineStr">
        <is>
          <t>HIGH — not retrieved (possible missed study)</t>
        </is>
      </c>
      <c r="G5" s="15" t="inlineStr"/>
      <c r="H5" s="15" t="inlineStr"/>
      <c r="I5" s="16" t="inlineStr"/>
    </row>
    <row r="6">
      <c r="A6" s="13" t="inlineStr">
        <is>
          <t>415</t>
        </is>
      </c>
      <c r="B6" s="13" t="inlineStr">
        <is>
          <t>EXCLUDED (Full text unavailable)</t>
        </is>
      </c>
      <c r="C6" s="14" t="inlineStr">
        <is>
          <t>Women's cancers among Alaska Natives 1969-2003. (2006)</t>
        </is>
      </c>
      <c r="D6" s="13" t="inlineStr">
        <is>
          <t>17929614</t>
        </is>
      </c>
      <c r="E6" s="13" t="inlineStr"/>
      <c r="F6" s="14" t="inlineStr">
        <is>
          <t>HIGH — not retrieved (possible missed study)</t>
        </is>
      </c>
      <c r="G6" s="15" t="inlineStr"/>
      <c r="H6" s="15" t="inlineStr"/>
      <c r="I6" s="16" t="inlineStr"/>
    </row>
    <row r="7">
      <c r="A7" s="13" t="inlineStr">
        <is>
          <t>424</t>
        </is>
      </c>
      <c r="B7" s="13" t="inlineStr">
        <is>
          <t>EXCLUDED (Full text unavailable)</t>
        </is>
      </c>
      <c r="C7" s="14" t="inlineStr">
        <is>
          <t>Breast cancer in a multiethnic cohort in Hawaii and Los Angeles: Risk factor-adjusted incidence in Japanese equals and in Hawaiians exceeds that in whites (2002)</t>
        </is>
      </c>
      <c r="D7" s="13" t="inlineStr">
        <is>
          <t>12223421</t>
        </is>
      </c>
      <c r="E7" s="13" t="inlineStr"/>
      <c r="F7" s="14" t="inlineStr">
        <is>
          <t>HIGH — not retrieved (possible missed study)</t>
        </is>
      </c>
      <c r="G7" s="15" t="inlineStr"/>
      <c r="H7" s="15" t="inlineStr"/>
      <c r="I7" s="16" t="inlineStr"/>
    </row>
    <row r="8">
      <c r="A8" s="13" t="inlineStr">
        <is>
          <t>428</t>
        </is>
      </c>
      <c r="B8" s="13" t="inlineStr">
        <is>
          <t>EXCLUDED (Full text unavailable)</t>
        </is>
      </c>
      <c r="C8" s="14" t="inlineStr">
        <is>
          <t>Women's cancers among Alaska Natives: [corrected] 1969-2003. (2007)</t>
        </is>
      </c>
      <c r="D8" s="13" t="inlineStr">
        <is>
          <t>18323374</t>
        </is>
      </c>
      <c r="E8" s="13" t="inlineStr"/>
      <c r="F8" s="14" t="inlineStr">
        <is>
          <t>HIGH — not retrieved (possible missed study)</t>
        </is>
      </c>
      <c r="G8" s="15" t="inlineStr"/>
      <c r="H8" s="15" t="inlineStr"/>
      <c r="I8" s="16" t="inlineStr"/>
    </row>
    <row r="9">
      <c r="A9" s="13" t="inlineStr">
        <is>
          <t>476</t>
        </is>
      </c>
      <c r="B9" s="13" t="inlineStr">
        <is>
          <t>EXCLUDED (Full text unavailable)</t>
        </is>
      </c>
      <c r="C9" s="14" t="inlineStr">
        <is>
          <t>Rural–urban disparities in breast cancer incidence among US women aged 20–49: trends by race/ethnicity, stage, poverty, and state from 2000–2019 (2026)</t>
        </is>
      </c>
      <c r="D9" s="13" t="inlineStr">
        <is>
          <t>41665696</t>
        </is>
      </c>
      <c r="E9" s="13" t="inlineStr">
        <is>
          <t>10.1007/s10552-026-02134-3</t>
        </is>
      </c>
      <c r="F9" s="14" t="inlineStr">
        <is>
          <t>HIGH — not retrieved (possible missed study)</t>
        </is>
      </c>
      <c r="G9" s="15" t="inlineStr"/>
      <c r="H9" s="15" t="inlineStr"/>
      <c r="I9" s="16" t="inlineStr"/>
    </row>
    <row r="10">
      <c r="A10" s="13" t="inlineStr">
        <is>
          <t>2038</t>
        </is>
      </c>
      <c r="B10" s="13" t="inlineStr">
        <is>
          <t>EXCLUDED (Full text unavailable)</t>
        </is>
      </c>
      <c r="C10" s="14" t="inlineStr">
        <is>
          <t>Incidence trends in triple-negative breast cancer among women in the United States from 2010 to 2019 by race/ethnicity, age and tumor stage (2023)</t>
        </is>
      </c>
      <c r="D10" s="13" t="inlineStr"/>
      <c r="E10" s="13" t="inlineStr"/>
      <c r="F10" s="14" t="inlineStr">
        <is>
          <t>HIGH — not retrieved (possible missed study)</t>
        </is>
      </c>
      <c r="G10" s="15" t="inlineStr"/>
      <c r="H10" s="15" t="inlineStr"/>
      <c r="I10" s="16" t="inlineStr"/>
    </row>
    <row r="11">
      <c r="A11" s="13" t="inlineStr">
        <is>
          <t>3116</t>
        </is>
      </c>
      <c r="B11" s="13" t="inlineStr">
        <is>
          <t>EXCLUDED (Full text unavailable)</t>
        </is>
      </c>
      <c r="C11" s="14" t="inlineStr">
        <is>
          <t>Time trends and racial differences in female breast cancer incidence in Pennsylvania, 1985-2004 (2011)</t>
        </is>
      </c>
      <c r="D11" s="13" t="inlineStr"/>
      <c r="E11" s="13" t="inlineStr">
        <is>
          <t>10.1089/jwh.2010.2082</t>
        </is>
      </c>
      <c r="F11" s="14" t="inlineStr">
        <is>
          <t>HIGH — not retrieved (possible missed study)</t>
        </is>
      </c>
      <c r="G11" s="15" t="inlineStr"/>
      <c r="H11" s="15" t="inlineStr"/>
      <c r="I11" s="16" t="inlineStr"/>
    </row>
    <row r="12">
      <c r="A12" s="13" t="inlineStr">
        <is>
          <t>3268</t>
        </is>
      </c>
      <c r="B12" s="13" t="inlineStr">
        <is>
          <t>EXCLUDED (Full text unavailable)</t>
        </is>
      </c>
      <c r="C12" s="14" t="inlineStr">
        <is>
          <t>Improving cancer incidence estimates for American Indians in Wisconsin (2007)</t>
        </is>
      </c>
      <c r="D12" s="13" t="inlineStr">
        <is>
          <t>17844709</t>
        </is>
      </c>
      <c r="E12" s="13" t="inlineStr"/>
      <c r="F12" s="14" t="inlineStr">
        <is>
          <t>HIGH — not retrieved (possible missed study)</t>
        </is>
      </c>
      <c r="G12" s="15" t="inlineStr"/>
      <c r="H12" s="15" t="inlineStr"/>
      <c r="I12" s="16" t="inlineStr"/>
    </row>
    <row r="13">
      <c r="A13" s="13" t="inlineStr">
        <is>
          <t>251</t>
        </is>
      </c>
      <c r="B13" s="13" t="inlineStr">
        <is>
          <t>EXCLUDED (Did not report the outcome of interest)</t>
        </is>
      </c>
      <c r="C13" s="14" t="inlineStr">
        <is>
          <t>Triple-negative breast cancer incidence in the United States: ecological correlations with area-level sociodemographics, healthcare, and health behaviors (2021)</t>
        </is>
      </c>
      <c r="D13" s="13" t="inlineStr">
        <is>
          <t>32671723</t>
        </is>
      </c>
      <c r="E13" s="13" t="inlineStr">
        <is>
          <t>10.1007/s12282-020-01132-w</t>
        </is>
      </c>
      <c r="F13" s="14" t="inlineStr">
        <is>
          <t>MED — excluded without full text</t>
        </is>
      </c>
      <c r="G13" s="15" t="inlineStr"/>
      <c r="H13" s="15" t="inlineStr"/>
      <c r="I13" s="16" t="inlineStr"/>
    </row>
    <row r="14">
      <c r="A14" s="13" t="inlineStr">
        <is>
          <t>80</t>
        </is>
      </c>
      <c r="B14" s="13" t="inlineStr">
        <is>
          <t>INCLUDED (narrative)</t>
        </is>
      </c>
      <c r="C14" s="14" t="inlineStr">
        <is>
          <t>Breast, Colorectal, and Prostate Cancer Incidence among Filipino Americans by Generational Status in the Multiethnic Cohort Study (2024)</t>
        </is>
      </c>
      <c r="D14" s="13" t="inlineStr">
        <is>
          <t>39132985</t>
        </is>
      </c>
      <c r="E14" s="13" t="inlineStr">
        <is>
          <t>10.1158/1055-9965.epi-24-0647</t>
        </is>
      </c>
      <c r="F14" s="14" t="inlineStr">
        <is>
          <t>LOW — narrative only</t>
        </is>
      </c>
      <c r="G14" s="15" t="inlineStr"/>
      <c r="H14" s="15" t="inlineStr"/>
      <c r="I14" s="16" t="inlineStr"/>
    </row>
    <row r="15">
      <c r="A15" s="13" t="inlineStr">
        <is>
          <t>402</t>
        </is>
      </c>
      <c r="B15" s="13" t="inlineStr">
        <is>
          <t>INCLUDED (narrative)</t>
        </is>
      </c>
      <c r="C15" s="14" t="inlineStr">
        <is>
          <t>Disparities in Breast Cancer Incidence, Mortality, and Quality of Care among African American and European American Women in South Carolina (2016)</t>
        </is>
      </c>
      <c r="D15" s="13" t="inlineStr">
        <is>
          <t>26741869</t>
        </is>
      </c>
      <c r="E15" s="13" t="inlineStr">
        <is>
          <t>10.14423/smj.0000000000000396</t>
        </is>
      </c>
      <c r="F15" s="14" t="inlineStr">
        <is>
          <t>LOW — narrative only</t>
        </is>
      </c>
      <c r="G15" s="15" t="inlineStr"/>
      <c r="H15" s="15" t="inlineStr"/>
      <c r="I15" s="16" t="inlineStr"/>
    </row>
    <row r="16">
      <c r="A16" s="13" t="inlineStr">
        <is>
          <t>426</t>
        </is>
      </c>
      <c r="B16" s="13" t="inlineStr">
        <is>
          <t>INCLUDED (narrative)</t>
        </is>
      </c>
      <c r="C16" s="14" t="inlineStr">
        <is>
          <t>Trends in Incidence of Invasive Lobular Carcinoma of the Breast by Race: Patterns by Age, Cancer Stage, and Socioeconomic Factors in the United States, 1992-2019 (2025)</t>
        </is>
      </c>
      <c r="D16" s="13" t="inlineStr">
        <is>
          <t>39837694</t>
        </is>
      </c>
      <c r="E16" s="13" t="inlineStr">
        <is>
          <t>10.1016/j.clbc.2024.12.015</t>
        </is>
      </c>
      <c r="F16" s="14" t="inlineStr">
        <is>
          <t>LOW — narrative only</t>
        </is>
      </c>
      <c r="G16" s="15" t="inlineStr"/>
      <c r="H16" s="15" t="inlineStr"/>
      <c r="I16" s="16" t="inlineStr"/>
    </row>
    <row r="17">
      <c r="A17" s="13" t="inlineStr">
        <is>
          <t>510</t>
        </is>
      </c>
      <c r="B17" s="13" t="inlineStr">
        <is>
          <t>INCLUDED (narrative)</t>
        </is>
      </c>
      <c r="C17" s="14" t="inlineStr">
        <is>
          <t>Cancer statistics for Asian Americans, Native Hawaiians, and Pacific Islanders, 2016: Converging incidence in males and females (2016)</t>
        </is>
      </c>
      <c r="D17" s="13" t="inlineStr">
        <is>
          <t>26766789</t>
        </is>
      </c>
      <c r="E17" s="13" t="inlineStr">
        <is>
          <t>10.3322/caac.21335</t>
        </is>
      </c>
      <c r="F17" s="14" t="inlineStr">
        <is>
          <t>LOW — narrative only</t>
        </is>
      </c>
      <c r="G17" s="15" t="inlineStr"/>
      <c r="H17" s="15" t="inlineStr"/>
      <c r="I17" s="16" t="inlineStr"/>
    </row>
    <row r="18">
      <c r="A18" s="13" t="inlineStr">
        <is>
          <t>516</t>
        </is>
      </c>
      <c r="B18" s="13" t="inlineStr">
        <is>
          <t>INCLUDED (narrative)</t>
        </is>
      </c>
      <c r="C18" s="14" t="inlineStr">
        <is>
          <t>The role of area-level socioeconomic disadvantage in racial disparities in cancer incidence in metropolitan Detroit (2023)</t>
        </is>
      </c>
      <c r="D18" s="13" t="inlineStr">
        <is>
          <t>37184135</t>
        </is>
      </c>
      <c r="E18" s="13" t="inlineStr">
        <is>
          <t>10.1002/cam4.6065</t>
        </is>
      </c>
      <c r="F18" s="14" t="inlineStr">
        <is>
          <t>LOW — narrative only</t>
        </is>
      </c>
      <c r="G18" s="15" t="inlineStr"/>
      <c r="H18" s="15" t="inlineStr"/>
      <c r="I18" s="16" t="inlineStr"/>
    </row>
    <row r="19">
      <c r="A19" s="13" t="inlineStr">
        <is>
          <t>565</t>
        </is>
      </c>
      <c r="B19" s="13" t="inlineStr">
        <is>
          <t>INCLUDED (narrative)</t>
        </is>
      </c>
      <c r="C19" s="14" t="inlineStr">
        <is>
          <t>Cancer in Guam and Hawaii: A comparison of two U.S. Island populations (2017)</t>
        </is>
      </c>
      <c r="D19" s="13" t="inlineStr">
        <is>
          <t>29120826</t>
        </is>
      </c>
      <c r="E19" s="13" t="inlineStr">
        <is>
          <t>10.1016/j.canep.2017.08.005</t>
        </is>
      </c>
      <c r="F19" s="14" t="inlineStr">
        <is>
          <t>LOW — narrative only</t>
        </is>
      </c>
      <c r="G19" s="15" t="inlineStr"/>
      <c r="H19" s="15" t="inlineStr"/>
      <c r="I19" s="16" t="inlineStr"/>
    </row>
    <row r="20">
      <c r="A20" s="13" t="inlineStr">
        <is>
          <t>751</t>
        </is>
      </c>
      <c r="B20" s="13" t="inlineStr">
        <is>
          <t>INCLUDED (narrative)</t>
        </is>
      </c>
      <c r="C20" s="14" t="inlineStr">
        <is>
          <t>Population-based statistics for women diagnosed with inflammatory breast cancer (United States) (2004)</t>
        </is>
      </c>
      <c r="D20" s="13" t="inlineStr">
        <is>
          <t>15090727</t>
        </is>
      </c>
      <c r="E20" s="13" t="inlineStr">
        <is>
          <t>10.1023/b:caco.0000024222.61114.18</t>
        </is>
      </c>
      <c r="F20" s="14" t="inlineStr">
        <is>
          <t>LOW — narrative only</t>
        </is>
      </c>
      <c r="G20" s="15" t="inlineStr"/>
      <c r="H20" s="15" t="inlineStr"/>
      <c r="I20" s="16" t="inlineStr"/>
    </row>
    <row r="21">
      <c r="A21" s="13" t="inlineStr">
        <is>
          <t>754</t>
        </is>
      </c>
      <c r="B21" s="13" t="inlineStr">
        <is>
          <t>INCLUDED (narrative)</t>
        </is>
      </c>
      <c r="C21" s="14" t="inlineStr">
        <is>
          <t>Breast cancer incidence and stage at diagnosis in the six US-Affiliated Pacific  Islands (2024)</t>
        </is>
      </c>
      <c r="D21" s="13" t="inlineStr">
        <is>
          <t>38996557</t>
        </is>
      </c>
      <c r="E21" s="13" t="inlineStr">
        <is>
          <t>10.1016/j.canep.2024.102611</t>
        </is>
      </c>
      <c r="F21" s="14" t="inlineStr">
        <is>
          <t>LOW — narrative only</t>
        </is>
      </c>
      <c r="G21" s="15" t="inlineStr"/>
      <c r="H21" s="15" t="inlineStr"/>
      <c r="I21" s="16" t="inlineStr"/>
    </row>
    <row r="22">
      <c r="A22" s="13" t="inlineStr">
        <is>
          <t>998</t>
        </is>
      </c>
      <c r="B22" s="13" t="inlineStr">
        <is>
          <t>INCLUDED (narrative)</t>
        </is>
      </c>
      <c r="C22" s="14" t="inlineStr">
        <is>
          <t>Cancer-related risk factors and incidence of major cancers by race, gender and region; analysis of the NIH-AARP diet and health study (2017)</t>
        </is>
      </c>
      <c r="D22" s="13" t="inlineStr">
        <is>
          <t>28854891</t>
        </is>
      </c>
      <c r="E22" s="13" t="inlineStr">
        <is>
          <t>10.1186/s12885-017-3557-1</t>
        </is>
      </c>
      <c r="F22" s="14" t="inlineStr">
        <is>
          <t>LOW — narrative only</t>
        </is>
      </c>
      <c r="G22" s="15" t="inlineStr"/>
      <c r="H22" s="15" t="inlineStr"/>
      <c r="I22" s="16" t="inlineStr"/>
    </row>
    <row r="23">
      <c r="A23" s="13" t="inlineStr">
        <is>
          <t>1101</t>
        </is>
      </c>
      <c r="B23" s="13" t="inlineStr">
        <is>
          <t>INCLUDED (narrative)</t>
        </is>
      </c>
      <c r="C23" s="14" t="inlineStr">
        <is>
          <t>Cancer incidence in the Somali population of Olmsted County: A Rochester epidemiology project study (2023)</t>
        </is>
      </c>
      <c r="D23" s="13" t="inlineStr">
        <is>
          <t>37740603</t>
        </is>
      </c>
      <c r="E23" s="13" t="inlineStr">
        <is>
          <t>10.1002/cam4.6558</t>
        </is>
      </c>
      <c r="F23" s="14" t="inlineStr">
        <is>
          <t>LOW — narrative only</t>
        </is>
      </c>
      <c r="G23" s="15" t="inlineStr"/>
      <c r="H23" s="15" t="inlineStr"/>
      <c r="I23" s="16" t="inlineStr"/>
    </row>
    <row r="24">
      <c r="A24" s="13" t="inlineStr">
        <is>
          <t>1398</t>
        </is>
      </c>
      <c r="B24" s="13" t="inlineStr">
        <is>
          <t>INCLUDED (narrative)</t>
        </is>
      </c>
      <c r="C24" s="14" t="inlineStr">
        <is>
          <t>Early-Onset Cancer Incidence Disparities Between Black and White Individuals in the US, 2003-2022 (2026)</t>
        </is>
      </c>
      <c r="D24" s="13" t="inlineStr">
        <is>
          <t>41989785</t>
        </is>
      </c>
      <c r="E24" s="13" t="inlineStr">
        <is>
          <t>10.1001/jamanetworkopen.2026.7529</t>
        </is>
      </c>
      <c r="F24" s="14" t="inlineStr">
        <is>
          <t>LOW — narrative only</t>
        </is>
      </c>
      <c r="G24" s="15" t="inlineStr"/>
      <c r="H24" s="15" t="inlineStr"/>
      <c r="I24" s="16" t="inlineStr"/>
    </row>
    <row r="25">
      <c r="A25" s="13" t="inlineStr">
        <is>
          <t>1637</t>
        </is>
      </c>
      <c r="B25" s="13" t="inlineStr">
        <is>
          <t>INCLUDED (narrative)</t>
        </is>
      </c>
      <c r="C25" s="14" t="inlineStr">
        <is>
          <t>Cancer Incidence in the Hispanic Community Health Study/Study of Latinos (HCHS/SOL)—The Onco-SOL Ancillary Study (2025)</t>
        </is>
      </c>
      <c r="D25" s="13" t="inlineStr">
        <is>
          <t>39808161</t>
        </is>
      </c>
      <c r="E25" s="13" t="inlineStr">
        <is>
          <t>10.1158/1055-9965.epi-24-1325</t>
        </is>
      </c>
      <c r="F25" s="14" t="inlineStr">
        <is>
          <t>LOW — narrative only</t>
        </is>
      </c>
      <c r="G25" s="15" t="inlineStr"/>
      <c r="H25" s="15" t="inlineStr"/>
      <c r="I25" s="16" t="inlineStr"/>
    </row>
    <row r="26">
      <c r="A26" s="13" t="inlineStr">
        <is>
          <t>1800</t>
        </is>
      </c>
      <c r="B26" s="13" t="inlineStr">
        <is>
          <t>INCLUDED (narrative)</t>
        </is>
      </c>
      <c r="C26" s="14" t="inlineStr">
        <is>
          <t>Rural–Urban Cancer Incidence and Trends in the United States, 2000 to 2019 (2024)</t>
        </is>
      </c>
      <c r="D26" s="13" t="inlineStr">
        <is>
          <t>38801414</t>
        </is>
      </c>
      <c r="E26" s="13" t="inlineStr">
        <is>
          <t>10.1158/1055-9965.epi-24-0072</t>
        </is>
      </c>
      <c r="F26" s="14" t="inlineStr">
        <is>
          <t>LOW — narrative only</t>
        </is>
      </c>
      <c r="G26" s="15" t="inlineStr"/>
      <c r="H26" s="15" t="inlineStr"/>
      <c r="I26" s="16" t="inlineStr"/>
    </row>
    <row r="27">
      <c r="A27" s="13" t="inlineStr">
        <is>
          <t>2163</t>
        </is>
      </c>
      <c r="B27" s="13" t="inlineStr">
        <is>
          <t>EXCLUDED (Overlapping or duplicate dataset)</t>
        </is>
      </c>
      <c r="C27" s="14" t="inlineStr">
        <is>
          <t>Estrogen receptor negative breast cancer incidence rates are similar in Ghanaian and Non-Hispanic Black women in the USA (2022)</t>
        </is>
      </c>
      <c r="D27" s="13" t="inlineStr"/>
      <c r="E27" s="13" t="inlineStr">
        <is>
          <t>10.1101/2022.02.21.22271266</t>
        </is>
      </c>
      <c r="F27" s="14" t="inlineStr">
        <is>
          <t>LOW — metadata-defensible</t>
        </is>
      </c>
      <c r="G27" s="15" t="inlineStr"/>
      <c r="H27" s="15" t="inlineStr"/>
      <c r="I27" s="16" t="inlineStr"/>
    </row>
    <row r="28">
      <c r="A28" s="13" t="inlineStr">
        <is>
          <t>3713</t>
        </is>
      </c>
      <c r="B28" s="13" t="inlineStr">
        <is>
          <t>EXCLUDED (Overlapping or duplicate dataset)</t>
        </is>
      </c>
      <c r="C28" s="14" t="inlineStr">
        <is>
          <t>Cancer incidence and mortality among Filipinos in the USA and the Philippines: Patterns and trends (2016)</t>
        </is>
      </c>
      <c r="D28" s="13" t="inlineStr"/>
      <c r="E28" s="13" t="inlineStr">
        <is>
          <t>10.1007/978-3-319-41118-7_3</t>
        </is>
      </c>
      <c r="F28" s="14" t="inlineStr">
        <is>
          <t>LOW — metadata-defensible</t>
        </is>
      </c>
      <c r="G28" s="15" t="inlineStr"/>
      <c r="H28" s="15" t="inlineStr"/>
      <c r="I28" s="16" t="inlineStr"/>
    </row>
  </sheetData>
  <autoFilter ref="A1:I28"/>
  <dataValidations count="2">
    <dataValidation sqref="G3:G28" showDropDown="0" showInputMessage="0" showErrorMessage="0" allowBlank="1" type="list">
      <formula1>"Yes,No"</formula1>
    </dataValidation>
    <dataValidation sqref="H3:H28" showDropDown="0" showInputMessage="0" showErrorMessage="0" allowBlank="1" type="list">
      <formula1>"Include,Exclude"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2026-08-29T11:04:10Z</dcterms:created>
  <dcterms:modified xmlns:dcterms="http://purl.org/dc/terms/" xmlns:xsi="http://www.w3.org/2001/XMLSchema-instance" xsi:type="dcterms:W3CDTF">2026-08-29T11:04:10Z</dcterms:modified>
</cp:coreProperties>
</file>