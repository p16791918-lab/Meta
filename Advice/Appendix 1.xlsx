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\Desktop\의학주제\# 2025 학생 메타주제\# cellular phone - cancer\@ Environmental Health Perspectives\"/>
    </mc:Choice>
  </mc:AlternateContent>
  <xr:revisionPtr revIDLastSave="0" documentId="13_ncr:1_{AECA2E0A-A5A4-48CB-84D0-C6268BEB3A1D}" xr6:coauthVersionLast="47" xr6:coauthVersionMax="47" xr10:uidLastSave="{00000000-0000-0000-0000-000000000000}"/>
  <bookViews>
    <workbookView xWindow="2260" yWindow="1310" windowWidth="20590" windowHeight="12800" xr2:uid="{00000000-000D-0000-FFFF-FFFF00000000}"/>
  </bookViews>
  <sheets>
    <sheet name="study characteristics " sheetId="1" r:id="rId1"/>
  </sheets>
  <definedNames>
    <definedName name="_xlnm._FilterDatabase" localSheetId="0" hidden="1">'study characteristics '!$A$1:$AF$190</definedName>
  </definedNames>
  <calcPr calcId="191029"/>
  <extLst>
    <ext uri="GoogleSheetsCustomDataVersion2">
      <go:sheetsCustomData xmlns:go="http://customooxmlschemas.google.com/" r:id="rId5" roundtripDataChecksum="qbDor0iJ7P4IBbIyyBfoumsfHQhVWaxyBx1MYee7sM0="/>
    </ext>
  </extLst>
</workbook>
</file>

<file path=xl/calcChain.xml><?xml version="1.0" encoding="utf-8"?>
<calcChain xmlns="http://schemas.openxmlformats.org/spreadsheetml/2006/main">
  <c r="R190" i="1" l="1"/>
  <c r="P190" i="1"/>
  <c r="O190" i="1"/>
  <c r="M190" i="1"/>
  <c r="R189" i="1"/>
  <c r="P189" i="1"/>
  <c r="O189" i="1"/>
  <c r="M189" i="1"/>
  <c r="R188" i="1"/>
  <c r="P188" i="1"/>
  <c r="O188" i="1"/>
  <c r="M188" i="1"/>
  <c r="R187" i="1"/>
  <c r="P187" i="1"/>
  <c r="O187" i="1"/>
  <c r="M187" i="1"/>
  <c r="R186" i="1"/>
  <c r="P186" i="1"/>
  <c r="M186" i="1"/>
  <c r="R185" i="1"/>
  <c r="P185" i="1"/>
  <c r="M185" i="1"/>
  <c r="R184" i="1"/>
  <c r="P184" i="1"/>
  <c r="R183" i="1"/>
  <c r="P183" i="1"/>
  <c r="R182" i="1"/>
  <c r="P182" i="1"/>
  <c r="R181" i="1"/>
  <c r="P181" i="1"/>
  <c r="R180" i="1"/>
  <c r="P180" i="1"/>
  <c r="R179" i="1"/>
  <c r="P179" i="1"/>
  <c r="R178" i="1"/>
  <c r="P178" i="1"/>
  <c r="R177" i="1"/>
  <c r="P177" i="1"/>
  <c r="R176" i="1"/>
  <c r="P176" i="1"/>
  <c r="R175" i="1"/>
  <c r="P175" i="1"/>
  <c r="R174" i="1"/>
  <c r="P174" i="1"/>
  <c r="R173" i="1"/>
  <c r="P173" i="1"/>
  <c r="R172" i="1"/>
  <c r="P172" i="1"/>
  <c r="R171" i="1"/>
  <c r="P171" i="1"/>
  <c r="R170" i="1"/>
  <c r="P170" i="1"/>
  <c r="R169" i="1"/>
  <c r="P169" i="1"/>
  <c r="M169" i="1"/>
  <c r="R168" i="1"/>
  <c r="P168" i="1"/>
  <c r="M168" i="1"/>
  <c r="R167" i="1"/>
  <c r="P167" i="1"/>
  <c r="M167" i="1"/>
  <c r="R166" i="1"/>
  <c r="P166" i="1"/>
  <c r="M166" i="1"/>
  <c r="R165" i="1"/>
  <c r="P165" i="1"/>
  <c r="R164" i="1"/>
  <c r="P164" i="1"/>
  <c r="R163" i="1"/>
  <c r="P163" i="1"/>
  <c r="R162" i="1"/>
  <c r="P162" i="1"/>
  <c r="R161" i="1"/>
  <c r="P161" i="1"/>
  <c r="R160" i="1"/>
  <c r="P160" i="1"/>
  <c r="R159" i="1"/>
  <c r="P159" i="1"/>
  <c r="R158" i="1"/>
  <c r="P158" i="1"/>
  <c r="R157" i="1"/>
  <c r="P157" i="1"/>
  <c r="R156" i="1"/>
  <c r="P156" i="1"/>
  <c r="R155" i="1"/>
  <c r="P155" i="1"/>
  <c r="R154" i="1"/>
  <c r="P154" i="1"/>
  <c r="R153" i="1"/>
  <c r="P153" i="1"/>
  <c r="R152" i="1"/>
  <c r="P152" i="1"/>
  <c r="R151" i="1"/>
  <c r="P151" i="1"/>
  <c r="R150" i="1"/>
  <c r="P150" i="1"/>
  <c r="R149" i="1"/>
  <c r="P149" i="1"/>
  <c r="R148" i="1"/>
  <c r="P148" i="1"/>
  <c r="R147" i="1"/>
  <c r="P147" i="1"/>
  <c r="R146" i="1"/>
  <c r="P146" i="1"/>
  <c r="R145" i="1"/>
  <c r="P145" i="1"/>
  <c r="R144" i="1"/>
  <c r="P144" i="1"/>
  <c r="R143" i="1"/>
  <c r="P143" i="1"/>
  <c r="R142" i="1"/>
  <c r="P142" i="1"/>
  <c r="R141" i="1"/>
  <c r="P141" i="1"/>
  <c r="R140" i="1"/>
  <c r="P140" i="1"/>
  <c r="R139" i="1"/>
  <c r="P139" i="1"/>
  <c r="R138" i="1"/>
  <c r="P138" i="1"/>
  <c r="R137" i="1"/>
  <c r="P137" i="1"/>
  <c r="R136" i="1"/>
  <c r="P136" i="1"/>
  <c r="R135" i="1"/>
  <c r="P135" i="1"/>
  <c r="R134" i="1"/>
  <c r="P134" i="1"/>
  <c r="R133" i="1"/>
  <c r="P133" i="1"/>
  <c r="R132" i="1"/>
  <c r="P132" i="1"/>
  <c r="R131" i="1"/>
  <c r="P131" i="1"/>
  <c r="R130" i="1"/>
  <c r="P130" i="1"/>
  <c r="R129" i="1"/>
  <c r="P129" i="1"/>
  <c r="R128" i="1"/>
  <c r="P128" i="1"/>
  <c r="R127" i="1"/>
  <c r="P127" i="1"/>
  <c r="R126" i="1"/>
  <c r="P126" i="1"/>
  <c r="R125" i="1"/>
  <c r="P125" i="1"/>
  <c r="R124" i="1"/>
  <c r="P124" i="1"/>
  <c r="R123" i="1"/>
  <c r="P123" i="1"/>
  <c r="R122" i="1"/>
  <c r="P122" i="1"/>
  <c r="R121" i="1"/>
  <c r="P121" i="1"/>
  <c r="R120" i="1"/>
  <c r="P120" i="1"/>
  <c r="R119" i="1"/>
  <c r="P119" i="1"/>
  <c r="R118" i="1"/>
  <c r="P118" i="1"/>
  <c r="R117" i="1"/>
  <c r="P117" i="1"/>
  <c r="R116" i="1"/>
  <c r="P116" i="1"/>
  <c r="R115" i="1"/>
  <c r="P115" i="1"/>
  <c r="R114" i="1"/>
  <c r="P114" i="1"/>
  <c r="R113" i="1"/>
  <c r="P113" i="1"/>
  <c r="R112" i="1"/>
  <c r="P112" i="1"/>
  <c r="R111" i="1"/>
  <c r="P111" i="1"/>
  <c r="R110" i="1"/>
  <c r="P110" i="1"/>
  <c r="R109" i="1"/>
  <c r="P109" i="1"/>
  <c r="R108" i="1"/>
  <c r="P108" i="1"/>
  <c r="R107" i="1"/>
  <c r="P107" i="1"/>
  <c r="R106" i="1"/>
  <c r="P106" i="1"/>
  <c r="R105" i="1"/>
  <c r="P105" i="1"/>
  <c r="R104" i="1"/>
  <c r="P104" i="1"/>
  <c r="R103" i="1"/>
  <c r="P103" i="1"/>
  <c r="R102" i="1"/>
  <c r="P102" i="1"/>
  <c r="R101" i="1"/>
  <c r="P101" i="1"/>
  <c r="R100" i="1"/>
  <c r="P100" i="1"/>
  <c r="R99" i="1"/>
  <c r="P99" i="1"/>
  <c r="R98" i="1"/>
  <c r="P98" i="1"/>
  <c r="M98" i="1"/>
  <c r="R97" i="1"/>
  <c r="P97" i="1"/>
  <c r="M97" i="1"/>
  <c r="R96" i="1"/>
  <c r="P96" i="1"/>
  <c r="M96" i="1"/>
  <c r="R95" i="1"/>
  <c r="P95" i="1"/>
  <c r="M95" i="1"/>
  <c r="R94" i="1"/>
  <c r="P94" i="1"/>
  <c r="M94" i="1"/>
  <c r="R93" i="1"/>
  <c r="P93" i="1"/>
  <c r="M93" i="1"/>
  <c r="R92" i="1"/>
  <c r="P92" i="1"/>
  <c r="M92" i="1"/>
  <c r="R91" i="1"/>
  <c r="P91" i="1"/>
  <c r="M91" i="1"/>
  <c r="R90" i="1"/>
  <c r="P90" i="1"/>
  <c r="M90" i="1"/>
  <c r="X89" i="1"/>
  <c r="P89" i="1"/>
  <c r="K89" i="1"/>
  <c r="X88" i="1"/>
  <c r="P88" i="1"/>
  <c r="K88" i="1"/>
  <c r="X87" i="1"/>
  <c r="P87" i="1"/>
  <c r="K87" i="1"/>
  <c r="X86" i="1"/>
  <c r="P86" i="1"/>
  <c r="K86" i="1"/>
  <c r="X85" i="1"/>
  <c r="P85" i="1"/>
  <c r="K85" i="1"/>
  <c r="R84" i="1"/>
  <c r="P84" i="1"/>
  <c r="R83" i="1"/>
  <c r="P83" i="1"/>
  <c r="R82" i="1"/>
  <c r="P82" i="1"/>
  <c r="R81" i="1"/>
  <c r="P81" i="1"/>
  <c r="R80" i="1"/>
  <c r="P80" i="1"/>
  <c r="R79" i="1"/>
  <c r="P79" i="1"/>
  <c r="R78" i="1"/>
  <c r="P78" i="1"/>
  <c r="R77" i="1"/>
  <c r="P77" i="1"/>
  <c r="R76" i="1"/>
  <c r="P76" i="1"/>
  <c r="R75" i="1"/>
  <c r="P75" i="1"/>
  <c r="R74" i="1"/>
  <c r="P74" i="1"/>
  <c r="R73" i="1"/>
  <c r="P73" i="1"/>
  <c r="R72" i="1"/>
  <c r="P72" i="1"/>
  <c r="M72" i="1"/>
  <c r="R71" i="1"/>
  <c r="P71" i="1"/>
  <c r="R70" i="1"/>
  <c r="P70" i="1"/>
  <c r="R69" i="1"/>
  <c r="P69" i="1"/>
  <c r="R68" i="1"/>
  <c r="P68" i="1"/>
  <c r="R67" i="1"/>
  <c r="P67" i="1"/>
  <c r="R66" i="1"/>
  <c r="P66" i="1"/>
  <c r="R65" i="1"/>
  <c r="P65" i="1"/>
  <c r="R64" i="1"/>
  <c r="P64" i="1"/>
  <c r="R63" i="1"/>
  <c r="P63" i="1"/>
  <c r="R62" i="1"/>
  <c r="P62" i="1"/>
  <c r="R61" i="1"/>
  <c r="P61" i="1"/>
  <c r="R60" i="1"/>
  <c r="P60" i="1"/>
  <c r="R59" i="1"/>
  <c r="P59" i="1"/>
  <c r="R58" i="1"/>
  <c r="P58" i="1"/>
  <c r="R57" i="1"/>
  <c r="P57" i="1"/>
  <c r="R56" i="1"/>
  <c r="P56" i="1"/>
  <c r="R55" i="1"/>
  <c r="P55" i="1"/>
  <c r="R54" i="1"/>
  <c r="P54" i="1"/>
  <c r="R53" i="1"/>
  <c r="P53" i="1"/>
  <c r="M53" i="1"/>
  <c r="R52" i="1"/>
  <c r="P52" i="1"/>
  <c r="M52" i="1"/>
  <c r="R51" i="1"/>
  <c r="P51" i="1"/>
  <c r="M51" i="1"/>
  <c r="R50" i="1"/>
  <c r="P50" i="1"/>
  <c r="M50" i="1"/>
  <c r="R49" i="1"/>
  <c r="P49" i="1"/>
  <c r="M49" i="1"/>
  <c r="R48" i="1"/>
  <c r="P48" i="1"/>
  <c r="M48" i="1"/>
  <c r="R47" i="1"/>
  <c r="P47" i="1"/>
  <c r="M47" i="1"/>
  <c r="R46" i="1"/>
  <c r="P46" i="1"/>
  <c r="M46" i="1"/>
  <c r="R45" i="1"/>
  <c r="P45" i="1"/>
  <c r="M45" i="1"/>
  <c r="R44" i="1"/>
  <c r="P44" i="1"/>
  <c r="M44" i="1"/>
  <c r="R43" i="1"/>
  <c r="P43" i="1"/>
  <c r="M43" i="1"/>
  <c r="R42" i="1"/>
  <c r="P42" i="1"/>
  <c r="M42" i="1"/>
  <c r="R41" i="1"/>
  <c r="P41" i="1"/>
  <c r="M41" i="1"/>
  <c r="R40" i="1"/>
  <c r="P40" i="1"/>
  <c r="R39" i="1"/>
  <c r="P39" i="1"/>
  <c r="R38" i="1"/>
  <c r="P38" i="1"/>
  <c r="R37" i="1"/>
  <c r="P37" i="1"/>
  <c r="R36" i="1"/>
  <c r="P36" i="1"/>
  <c r="R35" i="1"/>
  <c r="P35" i="1"/>
  <c r="R34" i="1"/>
  <c r="P34" i="1"/>
  <c r="R33" i="1"/>
  <c r="P33" i="1"/>
  <c r="R32" i="1"/>
  <c r="P32" i="1"/>
  <c r="R31" i="1"/>
  <c r="P31" i="1"/>
  <c r="R30" i="1"/>
  <c r="P30" i="1"/>
  <c r="R29" i="1"/>
  <c r="P29" i="1"/>
  <c r="R28" i="1"/>
  <c r="P28" i="1"/>
  <c r="R27" i="1"/>
  <c r="P27" i="1"/>
  <c r="R26" i="1"/>
  <c r="P26" i="1"/>
  <c r="R25" i="1"/>
  <c r="P25" i="1"/>
  <c r="R24" i="1"/>
  <c r="P24" i="1"/>
  <c r="R23" i="1"/>
  <c r="P23" i="1"/>
  <c r="R22" i="1"/>
  <c r="P22" i="1"/>
  <c r="R21" i="1"/>
  <c r="P21" i="1"/>
  <c r="R20" i="1"/>
  <c r="P20" i="1"/>
  <c r="R19" i="1"/>
  <c r="P19" i="1"/>
  <c r="R18" i="1"/>
  <c r="P18" i="1"/>
  <c r="R17" i="1"/>
  <c r="P17" i="1"/>
  <c r="R16" i="1"/>
  <c r="P16" i="1"/>
  <c r="R15" i="1"/>
  <c r="P15" i="1"/>
  <c r="R14" i="1"/>
  <c r="P14" i="1"/>
  <c r="R13" i="1"/>
  <c r="P13" i="1"/>
  <c r="R12" i="1"/>
  <c r="P12" i="1"/>
  <c r="R11" i="1"/>
  <c r="P11" i="1"/>
  <c r="R10" i="1"/>
  <c r="P10" i="1"/>
  <c r="R9" i="1"/>
  <c r="P9" i="1"/>
  <c r="R8" i="1"/>
  <c r="P8" i="1"/>
  <c r="R7" i="1"/>
  <c r="P7" i="1"/>
  <c r="R6" i="1"/>
  <c r="P6" i="1"/>
  <c r="R5" i="1"/>
  <c r="P5" i="1"/>
  <c r="R4" i="1"/>
  <c r="P4" i="1"/>
  <c r="R3" i="1"/>
  <c r="P3" i="1"/>
  <c r="R2" i="1"/>
  <c r="P2" i="1"/>
</calcChain>
</file>

<file path=xl/sharedStrings.xml><?xml version="1.0" encoding="utf-8"?>
<sst xmlns="http://schemas.openxmlformats.org/spreadsheetml/2006/main" count="3837" uniqueCount="372">
  <si>
    <t>Specific Outcome</t>
  </si>
  <si>
    <t>Exposure type</t>
  </si>
  <si>
    <t>Subgroup</t>
  </si>
  <si>
    <t>Age group</t>
  </si>
  <si>
    <t>Regional restrictions</t>
  </si>
  <si>
    <t>Model</t>
  </si>
  <si>
    <t>Lead author, year</t>
  </si>
  <si>
    <t>Effect type</t>
  </si>
  <si>
    <t>Risk estimate (95%CI)</t>
  </si>
  <si>
    <t>K</t>
  </si>
  <si>
    <t>N_exposed case</t>
  </si>
  <si>
    <t>N_exposed control</t>
  </si>
  <si>
    <t>N_total exposed</t>
  </si>
  <si>
    <t>Total case/control</t>
  </si>
  <si>
    <t>Total n</t>
  </si>
  <si>
    <t>Heterogenous?</t>
  </si>
  <si>
    <t>I² (%)</t>
  </si>
  <si>
    <t>significant?</t>
  </si>
  <si>
    <t>Overall p-value</t>
  </si>
  <si>
    <t>Heterogeneity p-value</t>
  </si>
  <si>
    <t>Egger's</t>
  </si>
  <si>
    <t>AMSTAR-II</t>
  </si>
  <si>
    <t>Study limitations (Risk of Bias)</t>
  </si>
  <si>
    <t>Inconsistency</t>
  </si>
  <si>
    <t>Indirectness</t>
  </si>
  <si>
    <t>Imprecision</t>
  </si>
  <si>
    <t>Publication bias</t>
  </si>
  <si>
    <t>Dose-Response Gradient</t>
  </si>
  <si>
    <t>Large Magnitude of Effect</t>
  </si>
  <si>
    <t>All Plausible Confounding Would Reduce Effect</t>
  </si>
  <si>
    <t>GRADE Overall</t>
  </si>
  <si>
    <t>Evidence class</t>
  </si>
  <si>
    <t>All brain tumor</t>
  </si>
  <si>
    <t>Ever vs. Never</t>
  </si>
  <si>
    <t>Mixed</t>
  </si>
  <si>
    <t>Random-effects model</t>
  </si>
  <si>
    <t>Bortkiewicz, 2017</t>
  </si>
  <si>
    <t>OR</t>
  </si>
  <si>
    <t>0.94 [0.86, 1.03]</t>
  </si>
  <si>
    <t>&lt;0.0005**</t>
  </si>
  <si>
    <t>Critically Low</t>
  </si>
  <si>
    <t>High</t>
  </si>
  <si>
    <t>Serious</t>
  </si>
  <si>
    <t>No concerns</t>
  </si>
  <si>
    <t>Imprecise</t>
  </si>
  <si>
    <t>NA</t>
  </si>
  <si>
    <t>No</t>
  </si>
  <si>
    <t>Very Low</t>
  </si>
  <si>
    <t>NS</t>
  </si>
  <si>
    <t>Phone type</t>
  </si>
  <si>
    <t>Analog</t>
  </si>
  <si>
    <t>1.09 [0.91, 1.30]</t>
  </si>
  <si>
    <t>Meningioma</t>
  </si>
  <si>
    <t>0.72 [0.60, 0.86]</t>
  </si>
  <si>
    <t>&lt;0.05*</t>
  </si>
  <si>
    <t>Some concerns</t>
  </si>
  <si>
    <t>Precise</t>
  </si>
  <si>
    <t>III</t>
  </si>
  <si>
    <t>Glioma</t>
  </si>
  <si>
    <t>0.92 [0.83, 1.03]</t>
  </si>
  <si>
    <t>&lt;0.015*</t>
  </si>
  <si>
    <t>Acoustic neuroma</t>
  </si>
  <si>
    <t>0.96 [0.87, 1.06]</t>
  </si>
  <si>
    <t>Laterality</t>
  </si>
  <si>
    <t>Ipsilateral</t>
  </si>
  <si>
    <t>1.29 [1.06, 1.57]</t>
  </si>
  <si>
    <t>IV</t>
  </si>
  <si>
    <t>Duration</t>
  </si>
  <si>
    <t>≥10 yrs (Long)</t>
  </si>
  <si>
    <t>1.25 [1.04, 1.52]</t>
  </si>
  <si>
    <t>Neoplasm</t>
  </si>
  <si>
    <t>over 7 yo</t>
  </si>
  <si>
    <t>Cao, 2022</t>
  </si>
  <si>
    <t>RR</t>
  </si>
  <si>
    <t>1.07 [0.93, 1.23]</t>
  </si>
  <si>
    <t>Low</t>
  </si>
  <si>
    <t>Yes</t>
  </si>
  <si>
    <t>1.3 [1.02, 1.6]</t>
  </si>
  <si>
    <t>Uncertain</t>
  </si>
  <si>
    <t>Thyroid cancer</t>
  </si>
  <si>
    <t>1.15 [0.93, 1.23]</t>
  </si>
  <si>
    <t>&lt;5 yrs (Short)</t>
  </si>
  <si>
    <t>over 16 yo</t>
  </si>
  <si>
    <t>Sweden (n=1), UK (n=1), US (n=1), Finland (n=1), 13 countries (n=1), France (n=1), Sweden (n=1), Denmark (n=1)</t>
  </si>
  <si>
    <t>Chen, 2021</t>
  </si>
  <si>
    <t>0.85 [0.77, 0.94]</t>
  </si>
  <si>
    <t>0†</t>
  </si>
  <si>
    <t>5-10 yrs (Medium)</t>
  </si>
  <si>
    <t>0.93 [0.75, 1.16]</t>
  </si>
  <si>
    <t>0.025*</t>
  </si>
  <si>
    <t>&gt;10 yrs (Long)</t>
  </si>
  <si>
    <t>1.05 [0.93, 1.19]</t>
  </si>
  <si>
    <t>0.9 [0.83, 0.99]</t>
  </si>
  <si>
    <t>5.3†</t>
  </si>
  <si>
    <t>1.05 [0.90, 1.22]</t>
  </si>
  <si>
    <t>11.7†</t>
  </si>
  <si>
    <t>Contralateral</t>
  </si>
  <si>
    <t>0.86 [0.62, 1.18]</t>
  </si>
  <si>
    <t>0.008*</t>
  </si>
  <si>
    <t>All tumor</t>
  </si>
  <si>
    <t>Sweden (n = 24), Denmark (n = 9), UK (n = 8), Finland (n = 7), Norway (n = 6), Germany (n = 5), US (n = 4),
Israel (n = 3), Japan (n = 2), Italy (n = 2), New Zealand (n = 2), France (n = 2), Brazil (n = 1), China (n = 1),
South Korea (n = 1), Thailand (n = 1)</t>
  </si>
  <si>
    <t>Choi, 2020</t>
  </si>
  <si>
    <t>0.99 [0.91, 1.07]</t>
  </si>
  <si>
    <t>0.97 [0.86, 1.09]</t>
  </si>
  <si>
    <t>5–9 yrs (Medium)</t>
  </si>
  <si>
    <t>1.0 [0.86, 1.16]</t>
  </si>
  <si>
    <t>1.29 [0.9, 1.85]</t>
  </si>
  <si>
    <t>Parotid tumor</t>
  </si>
  <si>
    <t>China(1), Israel(1), Denmark &amp; Sweden(1)</t>
  </si>
  <si>
    <t>de Siqueira, 2017</t>
  </si>
  <si>
    <t>1.27 [0.99, 1.63]</t>
  </si>
  <si>
    <t>Sweden(2), Denmark(1), UK(1), Germany(1), Norway(1), Japan(1), 13 countries(1), 5 European countries(1)</t>
  </si>
  <si>
    <t>Gong, 2014</t>
  </si>
  <si>
    <t>1.2 [0.93, 1.54]</t>
  </si>
  <si>
    <t>&lt;0.00001**</t>
  </si>
  <si>
    <t>Moderate</t>
  </si>
  <si>
    <t>Some concern</t>
  </si>
  <si>
    <t>1.68 [1.15, 2.45]</t>
  </si>
  <si>
    <t>1.01 [0.92, 1.11]</t>
  </si>
  <si>
    <t>1†</t>
  </si>
  <si>
    <t>0.69 [0.63, 0.77]</t>
  </si>
  <si>
    <t>9†</t>
  </si>
  <si>
    <t>&lt;0.00001</t>
  </si>
  <si>
    <t>Ipsilateral (&gt;10 yrs)</t>
  </si>
  <si>
    <t>1.46 [1.12, 1.92]</t>
  </si>
  <si>
    <t>Contralateral (&gt;10 yrs)</t>
  </si>
  <si>
    <t>1.13 [0.85, 1.50]</t>
  </si>
  <si>
    <t>11†</t>
  </si>
  <si>
    <t>Sweden (4), US (1), Finland (1), France (1), Norway (1), Denmark&amp;Norway&amp;Finland&amp;Sweden&amp;UK (1), Germany (2), UK (1), Denmark&amp;Norway&amp;Finland&amp;Sweden&amp;UK&amp;Scotland (1), Japan (1), Denmark (2)</t>
  </si>
  <si>
    <t>Hardell, 2008</t>
  </si>
  <si>
    <t>1.3 [0.9, 1.8]</t>
  </si>
  <si>
    <t>1.2 [0.8, 1.9]</t>
  </si>
  <si>
    <t>0.9 [0.7, 1.1]</t>
  </si>
  <si>
    <t>0.8 [0.7, 0.99]</t>
  </si>
  <si>
    <t>1.3 [0.6, 2.8]</t>
  </si>
  <si>
    <t>1.10 [0.60, 2.00]</t>
  </si>
  <si>
    <t>N/A</t>
  </si>
  <si>
    <t>1.70 [0.99, 3.10]</t>
  </si>
  <si>
    <t>1.00 [0.30, 3.10]</t>
  </si>
  <si>
    <t>1.20 [0.70, 2.20]</t>
  </si>
  <si>
    <t>2.00 [1.20, 3.40]</t>
  </si>
  <si>
    <t>2.40 [1.10, 5.30]</t>
  </si>
  <si>
    <t>Hardell, 2013</t>
  </si>
  <si>
    <t>1.1 [0.61, 1.99]</t>
  </si>
  <si>
    <t>1.48 [0.65, 3.35]</t>
  </si>
  <si>
    <t>1.46 [0.39, 5.47]</t>
  </si>
  <si>
    <t>1.84 [0.80, 4.25]</t>
  </si>
  <si>
    <t>1.23 [0.40, 3.73]</t>
  </si>
  <si>
    <t>1.52 [0.90, 2.57]</t>
  </si>
  <si>
    <t>Mobile</t>
  </si>
  <si>
    <t>1.3 [1.1, 1.6]</t>
  </si>
  <si>
    <t>Cordless</t>
  </si>
  <si>
    <t>1.7 [1.2, 2.3]</t>
  </si>
  <si>
    <t>1.5 [1.04, 2.0]</t>
  </si>
  <si>
    <t>1.1 [0.9, 1.3]</t>
  </si>
  <si>
    <t>1.1 [0.9, 1.4]</t>
  </si>
  <si>
    <t>2.29 [1.56, 3.37]</t>
  </si>
  <si>
    <t>High-grade</t>
  </si>
  <si>
    <t>North America and Europe</t>
  </si>
  <si>
    <t>Kan, 2008</t>
  </si>
  <si>
    <t>0.86 [0.7, 1.05]</t>
  </si>
  <si>
    <t>0.023*</t>
  </si>
  <si>
    <t>Low-grade</t>
  </si>
  <si>
    <t>1.14 [0.91, 1.43]</t>
  </si>
  <si>
    <t>0.96 [0.83, 1.1]</t>
  </si>
  <si>
    <t>Intracranial tumor</t>
  </si>
  <si>
    <t>1.13 [0.83, 1.54]</t>
  </si>
  <si>
    <t>0.001**</t>
  </si>
  <si>
    <t>0.64 [0.56, 0.74]</t>
  </si>
  <si>
    <t>1231/?</t>
  </si>
  <si>
    <t>&lt; 1e-6</t>
  </si>
  <si>
    <t>1.25 [1.01, 1.54]</t>
  </si>
  <si>
    <t>Digital</t>
  </si>
  <si>
    <t>0.86 [0.68, 1.09]</t>
  </si>
  <si>
    <t>&lt;0.001**</t>
  </si>
  <si>
    <t xml:space="preserve">Kan, 2008 </t>
  </si>
  <si>
    <t>0.90 [0.81, 0.99]</t>
  </si>
  <si>
    <t>5259/12074</t>
  </si>
  <si>
    <t>US(3), 13 countries(2), Sweden(4), France(1), Korea(1)</t>
  </si>
  <si>
    <t>Karipidis, 2024</t>
  </si>
  <si>
    <t>0.95 [0.78, 1.16]</t>
  </si>
  <si>
    <t>1.22 [0.86, 1.74]</t>
  </si>
  <si>
    <t>Pituitary tumor</t>
  </si>
  <si>
    <t>0.92 [0.46, 1.83]</t>
  </si>
  <si>
    <t>0.86 [0.65, 1.13]</t>
  </si>
  <si>
    <t>0.69 [0.45, 1.06]</t>
  </si>
  <si>
    <t>Salivary tumor</t>
  </si>
  <si>
    <t>0.85 [0.68, 1.08]</t>
  </si>
  <si>
    <t>0.9 [0.69, 1.15]</t>
  </si>
  <si>
    <t>0.93 [0.77, 1.12]</t>
  </si>
  <si>
    <t>1.00 [0.90, 1.12]</t>
  </si>
  <si>
    <t>0.89 [0.79, 1.02]</t>
  </si>
  <si>
    <t>14.38†</t>
  </si>
  <si>
    <t>0.99 [0.85, 1.15]</t>
  </si>
  <si>
    <t>1.13 [0.91, 1.41]</t>
  </si>
  <si>
    <t>1.05 [0.88, 1.26]</t>
  </si>
  <si>
    <t>0.92 [0.82, 1.02]</t>
  </si>
  <si>
    <t>0.91 [0.70, 1.18]</t>
  </si>
  <si>
    <t>1.34 [1, 1.79]</t>
  </si>
  <si>
    <t>0.76 [0.49, 1.18]</t>
  </si>
  <si>
    <t>1.04 [0.74, 1.46]</t>
  </si>
  <si>
    <t>1.03 [0.85, 1.24]</t>
  </si>
  <si>
    <t>1.01 [0.89, 1.13]</t>
  </si>
  <si>
    <t>&lt;0.001</t>
  </si>
  <si>
    <t>0.81 [0.61, 1.06]</t>
  </si>
  <si>
    <t>0.91 [0.78, 1.06]</t>
  </si>
  <si>
    <t>1.16 [0.83, 1.61]</t>
  </si>
  <si>
    <t>Leukemia</t>
  </si>
  <si>
    <t>Karipidis, 2025</t>
  </si>
  <si>
    <t>insignificant</t>
  </si>
  <si>
    <t>Non-Hodgkin's lymphoma</t>
  </si>
  <si>
    <t>0.99 [0.92, 1.06]</t>
  </si>
  <si>
    <t>0.99 [0.86, 1.15]</t>
  </si>
  <si>
    <t>Sweden (4), Denmark (2), UK (1), Germany (1), Denmark&amp;Norway&amp;Finland&amp;Sweden&amp;UK (2), Denmark&amp;Norway&amp;Finland&amp;Sweden&amp;UK&amp;Scotland (1)</t>
  </si>
  <si>
    <t>Fixed-effects model</t>
  </si>
  <si>
    <t>Khurana, 2009</t>
  </si>
  <si>
    <t>1.1 [0.8, 1.4]</t>
  </si>
  <si>
    <t>1.3 [0.97, 1.9]</t>
  </si>
  <si>
    <t>1.20 [0.90, 1.70]</t>
  </si>
  <si>
    <t>1.30 [0.90, 1.80]</t>
  </si>
  <si>
    <t>0.80 [0.50, 1.30]</t>
  </si>
  <si>
    <t>1.20 [0.80, 1.90]</t>
  </si>
  <si>
    <t>1.90 [1.40, 2.40]</t>
  </si>
  <si>
    <t>1.60 [1.10, 2.40]</t>
  </si>
  <si>
    <t>5-9 yrs in general; 5-10 yrs for Orebro series (Medium)</t>
  </si>
  <si>
    <t>Lagorio, 2014</t>
  </si>
  <si>
    <t>0.84 [0.65, 1.09]</t>
  </si>
  <si>
    <t>0.91 [0.78, 1.05]</t>
  </si>
  <si>
    <t>1.02 [0.74, 1.4]</t>
  </si>
  <si>
    <t>0.99 [0.84, 1.17]</t>
  </si>
  <si>
    <t>0.001*</t>
  </si>
  <si>
    <t>0.5-6.5 yrs (Short)</t>
  </si>
  <si>
    <t>0.87 [0.77, 0.98]</t>
  </si>
  <si>
    <t>0.99 [0.73, 1.36]</t>
  </si>
  <si>
    <t>1.11 [0.74, 1.66]</t>
  </si>
  <si>
    <t>1.23 [0.56, 2.76]</t>
  </si>
  <si>
    <t>0.016*</t>
  </si>
  <si>
    <t>1.24 [0.56, 2.76]</t>
  </si>
  <si>
    <t>&lt;0.001*</t>
  </si>
  <si>
    <t>1.02 [0.86, 1.21]</t>
  </si>
  <si>
    <t>1.1 [0.81, 1.49]</t>
  </si>
  <si>
    <t>0.003*</t>
  </si>
  <si>
    <t>1.26 [0.86, 1.84]</t>
  </si>
  <si>
    <t>Sweden (5), US (3: hospital based), Denmark (2), Finland (1), Nordic countries (1)</t>
  </si>
  <si>
    <t>Lahkola, 2006</t>
  </si>
  <si>
    <t>0.87 [0.72, 1.05]</t>
  </si>
  <si>
    <t>3.8†</t>
  </si>
  <si>
    <t>1.16 [0.82, 1.63]</t>
  </si>
  <si>
    <t>0.98 [0.83, 1.16]</t>
  </si>
  <si>
    <t>0.96 [0.78, 1.18]</t>
  </si>
  <si>
    <t>1352/</t>
  </si>
  <si>
    <t>1.07 [0.89, 1.3]</t>
  </si>
  <si>
    <t>12.2†</t>
  </si>
  <si>
    <t>1.33 [0.78, 2.28]</t>
  </si>
  <si>
    <t>1.05 [0.41, 2.67]</t>
  </si>
  <si>
    <t>1.17 [0.91, 1.49]</t>
  </si>
  <si>
    <t>1.04 [0.8, 1.35]</t>
  </si>
  <si>
    <t>1.36 [0.99, 1.87]</t>
  </si>
  <si>
    <t xml:space="preserve">Contralateral </t>
  </si>
  <si>
    <t>1.02 [0.78, 1.35]</t>
  </si>
  <si>
    <t>7†</t>
  </si>
  <si>
    <t xml:space="preserve">case control, &lt;10 yrs </t>
  </si>
  <si>
    <t>Sweden(5), South Korea(1), Finland(1), France(2), Japan(2), UK(1), US(3), 4 countries(1), 13 countries(3)</t>
  </si>
  <si>
    <t>Moon, 2024</t>
  </si>
  <si>
    <t>0.96 [0.88, 1.04]</t>
  </si>
  <si>
    <t>&lt;0.01</t>
  </si>
  <si>
    <t>0.98 [0.77, 1.26]</t>
  </si>
  <si>
    <t>case control, &gt;10 yrs (Long)</t>
  </si>
  <si>
    <t>1.38 [0.93, 2.05]</t>
  </si>
  <si>
    <t>1.04 [0.88, 1.23]</t>
  </si>
  <si>
    <t>1.00 [0.53, 1.90]</t>
  </si>
  <si>
    <t>0.89 [0.67, 1.19]</t>
  </si>
  <si>
    <t>Malignant brain tumor</t>
  </si>
  <si>
    <t>0.92 [0.76, 1.10]</t>
  </si>
  <si>
    <t>1.35 [0.68, 2.7]</t>
  </si>
  <si>
    <t>cohort, &gt;10 yrs (Long)</t>
  </si>
  <si>
    <t>Denmark(2), UK(2), 6 countries(1)</t>
  </si>
  <si>
    <t>1.00 [0.92, 1.08]</t>
  </si>
  <si>
    <t>1.61 [0.91, 2.85]</t>
  </si>
  <si>
    <t>1.27 [1.08, 1.48]</t>
  </si>
  <si>
    <t>1.32 [1.01, 1.71]</t>
  </si>
  <si>
    <t>case-control</t>
  </si>
  <si>
    <t>0.74 [0.26, 2.13]</t>
  </si>
  <si>
    <t>0.91 [0.71, 1.16]</t>
  </si>
  <si>
    <t>1.13 [0.84, 1.51]</t>
  </si>
  <si>
    <t>1.01 [0.79, 1.31]</t>
  </si>
  <si>
    <t>cohort</t>
  </si>
  <si>
    <t>1.0 [0.95, 1.04]</t>
  </si>
  <si>
    <t>1.08 [0.86, 1.35]</t>
  </si>
  <si>
    <t>0.96 [0.86, 1.08]</t>
  </si>
  <si>
    <t>0.49†</t>
  </si>
  <si>
    <t>1.26 [0.98, 1.61]</t>
  </si>
  <si>
    <t>case control, Ipsilateral</t>
  </si>
  <si>
    <t>1.40 [1.21, 1.62]</t>
  </si>
  <si>
    <t>&lt;0.01*</t>
  </si>
  <si>
    <t>case control, Contralateral</t>
  </si>
  <si>
    <t>1.04 [0.93, 1.16]</t>
  </si>
  <si>
    <t>1.74 [0.91, 3.33]</t>
  </si>
  <si>
    <t>2.07 [0.95, 4.52]</t>
  </si>
  <si>
    <t>1.38 [0.91, 2.08]</t>
  </si>
  <si>
    <t>1.14 [0.87, 1.51]</t>
  </si>
  <si>
    <t>1.93 [1.55, 2.39]</t>
  </si>
  <si>
    <t>1.03 [0.83, 1.28]</t>
  </si>
  <si>
    <t>1.08 [0.90, 1.30]</t>
  </si>
  <si>
    <t>23†</t>
  </si>
  <si>
    <t>0.9 [0.79, 1.02]</t>
  </si>
  <si>
    <t>0.86 [0.77, 0.95]</t>
  </si>
  <si>
    <t>1.20 [1.04, 1.39]</t>
  </si>
  <si>
    <t>1.45 [1.16, 1.82]</t>
  </si>
  <si>
    <t>0.96 [0.77, 1.19]</t>
  </si>
  <si>
    <t>1.03 [0.87, 1.23]</t>
  </si>
  <si>
    <t>0.98 [0.85, 1.14]</t>
  </si>
  <si>
    <t>0.98 [0.88, 1.1]</t>
  </si>
  <si>
    <t>Sweden(7), US(4), Germany(2), Finland(1), 5 North European countries(Denmark&amp;Finland&amp;Norway&amp;Stockholm&amp;UK)(1), 5 North European countries(Denmark&amp;Finland&amp;Norway&amp;Sweden&amp;UK)(1), Denmark&amp;Sweden(1), Japan(2), France(1), Israel(1)</t>
  </si>
  <si>
    <t>Myung, 2009</t>
  </si>
  <si>
    <t>1.22 [0.99, 1.51]</t>
  </si>
  <si>
    <t>5184 (min. 1384)</t>
  </si>
  <si>
    <t>0.94 [0.77, 1.15]</t>
  </si>
  <si>
    <t>0.98 [0.89, 1.07]</t>
  </si>
  <si>
    <t>12344/25572</t>
  </si>
  <si>
    <t>1.18 [1.04, 1.34]</t>
  </si>
  <si>
    <t>0.96 [0.87, 1.07]</t>
  </si>
  <si>
    <t>0.95 [0.84, 1.08]</t>
  </si>
  <si>
    <t>Sweden(6), US(3), Finland(1), Denmark &amp; Finland &amp; Norway &amp; Sweden &amp; UK(3), Denmark &amp; Norway &amp; Sweden &amp; Switzerland(1), Denmark(1), Japan(2), France(2), Germany(1), 13 countries(2)</t>
  </si>
  <si>
    <t>Prasad, 2017</t>
  </si>
  <si>
    <t>0.84 [0.76, 0.93]</t>
  </si>
  <si>
    <t>4401/7236</t>
  </si>
  <si>
    <t>13†</t>
  </si>
  <si>
    <t>1.03 [0.92, 1.14]</t>
  </si>
  <si>
    <t>12426/19334</t>
  </si>
  <si>
    <t>&lt;0.0001**</t>
  </si>
  <si>
    <t>1.08 [0.94, 1.25]</t>
  </si>
  <si>
    <t>6272/10037</t>
  </si>
  <si>
    <t>0.0010*</t>
  </si>
  <si>
    <t>1.04 [0.82, 1.33]</t>
  </si>
  <si>
    <t>1508/3947</t>
  </si>
  <si>
    <t>1.33 [1.07, 1.66]</t>
  </si>
  <si>
    <t>7583/10389</t>
  </si>
  <si>
    <t>Repacholi, 2011</t>
  </si>
  <si>
    <t>1.25 [0.51, 3.1]</t>
  </si>
  <si>
    <t>1.07 [0.89, 1.29]</t>
  </si>
  <si>
    <t>1-6 yrs (Short)</t>
  </si>
  <si>
    <t>0.82 [0.72, 0.94]</t>
  </si>
  <si>
    <t>1.05 [0.77, 1.42]</t>
  </si>
  <si>
    <t>0.87 [0.73, 1.04]</t>
  </si>
  <si>
    <t>1.03 [0.86, 1.24]</t>
  </si>
  <si>
    <t>0.008**</t>
  </si>
  <si>
    <t>1.4 [0.84, 2.31]</t>
  </si>
  <si>
    <t>0.99 [0.7, 1.41]</t>
  </si>
  <si>
    <t>1.37 [0.74, 2.52]</t>
  </si>
  <si>
    <t>0.88 [0.72, 1.08]</t>
  </si>
  <si>
    <t>0.83 [0.52, 1.33]</t>
  </si>
  <si>
    <t>≥1yr</t>
  </si>
  <si>
    <t>Wang, 2016</t>
  </si>
  <si>
    <t>1.08 [0.91, 1.25]</t>
  </si>
  <si>
    <t>5460/12603</t>
  </si>
  <si>
    <t>≥5yr</t>
  </si>
  <si>
    <t>1.35 [1.09, 1.62]</t>
  </si>
  <si>
    <t>4973/11255</t>
  </si>
  <si>
    <t>US(1), Denmark(1), Sweden(2), England(1), Germany(1), Norway(1), 5 countries(1), Japan(1), France(1), Korea(1)</t>
  </si>
  <si>
    <t>Yang, 2017</t>
  </si>
  <si>
    <t>0.98 [0.88, 1.10]</t>
  </si>
  <si>
    <t>6028/11488</t>
  </si>
  <si>
    <t>1.44 [1.08, 1.91]</t>
  </si>
  <si>
    <t>4877/9850</t>
  </si>
  <si>
    <t>0.97 [0.88, 1.06]</t>
  </si>
  <si>
    <t>3773/7034</t>
  </si>
  <si>
    <t>0.75 [0.65, 0.87]</t>
  </si>
  <si>
    <t>Ipsilateral (≥10 yrs)</t>
  </si>
  <si>
    <t>1892/3975</t>
  </si>
  <si>
    <t>Contralateral (≥10 yrs)</t>
  </si>
  <si>
    <t>1.12 [0.81, 1.55]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</si>
</sst>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Arial"/>
      <family val="2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1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005"/>
  <sheetViews>
    <sheetView tabSelected="1" zoomScale="70" zoomScaleNormal="70" workbookViewId="0">
      <pane ySplit="1" topLeftCell="A6" activePane="bottomLeft" state="frozen"/>
      <selection pane="bottomLeft" activeCell="E6" sqref="E6"/>
    </sheetView>
  </sheetViews>
  <sheetFormatPr defaultColWidth="14.453125" defaultRowHeight="15" customHeight="1" x14ac:dyDescent="0.35"/>
  <cols>
    <col min="1" max="1" width="22.26953125" customWidth="1"/>
    <col min="2" max="2" width="19" customWidth="1"/>
    <col min="3" max="3" width="41.81640625" customWidth="1"/>
    <col min="4" max="4" width="15" customWidth="1"/>
    <col min="5" max="5" width="58.81640625" customWidth="1"/>
    <col min="6" max="6" width="22.54296875" customWidth="1"/>
    <col min="7" max="7" width="22.26953125" customWidth="1"/>
    <col min="8" max="8" width="16" customWidth="1"/>
    <col min="9" max="9" width="21" customWidth="1"/>
    <col min="10" max="10" width="8.81640625" customWidth="1"/>
    <col min="11" max="11" width="11.26953125" customWidth="1"/>
    <col min="12" max="12" width="28.453125" customWidth="1"/>
    <col min="13" max="13" width="25.54296875" customWidth="1"/>
    <col min="14" max="16" width="22.54296875" customWidth="1"/>
    <col min="17" max="17" width="8.81640625" customWidth="1"/>
    <col min="18" max="18" width="16" customWidth="1"/>
    <col min="19" max="19" width="8.81640625" customWidth="1"/>
    <col min="20" max="20" width="25.81640625" customWidth="1"/>
    <col min="21" max="21" width="8.81640625" customWidth="1"/>
    <col min="22" max="22" width="14" customWidth="1"/>
    <col min="23" max="23" width="15.453125" customWidth="1"/>
    <col min="24" max="25" width="18.453125" customWidth="1"/>
    <col min="26" max="30" width="18.81640625" customWidth="1"/>
    <col min="31" max="31" width="14.81640625" customWidth="1"/>
    <col min="32" max="32" width="17.26953125" customWidth="1"/>
  </cols>
  <sheetData>
    <row r="1" spans="1:32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</row>
    <row r="2" spans="1:32" ht="30" customHeight="1" x14ac:dyDescent="0.35">
      <c r="A2" s="5" t="s">
        <v>32</v>
      </c>
      <c r="B2" s="5" t="s">
        <v>33</v>
      </c>
      <c r="C2" s="5"/>
      <c r="D2" s="5" t="s">
        <v>34</v>
      </c>
      <c r="E2" s="6"/>
      <c r="F2" s="5" t="s">
        <v>35</v>
      </c>
      <c r="G2" s="5" t="s">
        <v>36</v>
      </c>
      <c r="H2" s="5" t="s">
        <v>37</v>
      </c>
      <c r="I2" s="5" t="s">
        <v>38</v>
      </c>
      <c r="J2" s="5">
        <v>22</v>
      </c>
      <c r="K2" s="5">
        <v>8410</v>
      </c>
      <c r="L2" s="5">
        <v>20215</v>
      </c>
      <c r="M2" s="5">
        <v>28625</v>
      </c>
      <c r="N2" s="5"/>
      <c r="O2" s="5"/>
      <c r="P2" s="5" t="str">
        <f t="shared" ref="P2:P190" si="0">IF(Q2="","",IF(Q2&lt;=50,"Not heterogeneous","Heterogeneous"))</f>
        <v/>
      </c>
      <c r="Q2" s="5"/>
      <c r="R2" s="5" t="str">
        <f t="shared" ref="R2:R84" si="1">IF(S2&lt;0.05,"significant","insignificant")</f>
        <v>insignificant</v>
      </c>
      <c r="S2" s="5">
        <v>0.17873600000000001</v>
      </c>
      <c r="T2" s="5" t="s">
        <v>39</v>
      </c>
      <c r="U2" s="5"/>
      <c r="V2" s="7" t="s">
        <v>40</v>
      </c>
      <c r="W2" s="7" t="s">
        <v>41</v>
      </c>
      <c r="X2" s="5" t="s">
        <v>42</v>
      </c>
      <c r="Y2" s="5" t="s">
        <v>43</v>
      </c>
      <c r="Z2" s="5" t="s">
        <v>44</v>
      </c>
      <c r="AA2" s="5" t="s">
        <v>45</v>
      </c>
      <c r="AB2" s="5" t="s">
        <v>46</v>
      </c>
      <c r="AC2" s="5" t="s">
        <v>46</v>
      </c>
      <c r="AD2" s="5" t="s">
        <v>46</v>
      </c>
      <c r="AE2" s="5" t="s">
        <v>47</v>
      </c>
      <c r="AF2" s="5" t="s">
        <v>48</v>
      </c>
    </row>
    <row r="3" spans="1:32" ht="30" hidden="1" customHeight="1" x14ac:dyDescent="0.35">
      <c r="A3" s="5" t="s">
        <v>32</v>
      </c>
      <c r="B3" s="5" t="s">
        <v>49</v>
      </c>
      <c r="C3" s="5" t="s">
        <v>50</v>
      </c>
      <c r="D3" s="5" t="s">
        <v>34</v>
      </c>
      <c r="E3" s="6"/>
      <c r="F3" s="5" t="s">
        <v>35</v>
      </c>
      <c r="G3" s="5" t="s">
        <v>36</v>
      </c>
      <c r="H3" s="5" t="s">
        <v>37</v>
      </c>
      <c r="I3" s="5" t="s">
        <v>51</v>
      </c>
      <c r="J3" s="5">
        <v>6</v>
      </c>
      <c r="K3" s="5">
        <v>5207</v>
      </c>
      <c r="L3" s="5">
        <v>14645</v>
      </c>
      <c r="M3" s="5">
        <v>19852</v>
      </c>
      <c r="N3" s="5"/>
      <c r="O3" s="5"/>
      <c r="P3" s="5" t="str">
        <f t="shared" si="0"/>
        <v/>
      </c>
      <c r="Q3" s="5"/>
      <c r="R3" s="5" t="str">
        <f t="shared" si="1"/>
        <v>insignificant</v>
      </c>
      <c r="S3" s="5">
        <v>0.34357399999999999</v>
      </c>
      <c r="T3" s="5" t="s">
        <v>39</v>
      </c>
      <c r="U3" s="5"/>
      <c r="V3" s="7" t="s">
        <v>40</v>
      </c>
      <c r="W3" s="7" t="s">
        <v>41</v>
      </c>
      <c r="X3" s="5" t="s">
        <v>42</v>
      </c>
      <c r="Y3" s="5" t="s">
        <v>43</v>
      </c>
      <c r="Z3" s="5" t="s">
        <v>44</v>
      </c>
      <c r="AA3" s="5" t="s">
        <v>45</v>
      </c>
      <c r="AB3" s="5" t="s">
        <v>46</v>
      </c>
      <c r="AC3" s="5" t="s">
        <v>46</v>
      </c>
      <c r="AD3" s="5" t="s">
        <v>46</v>
      </c>
      <c r="AE3" s="5" t="s">
        <v>47</v>
      </c>
      <c r="AF3" s="5" t="s">
        <v>48</v>
      </c>
    </row>
    <row r="4" spans="1:32" ht="30" customHeight="1" x14ac:dyDescent="0.35">
      <c r="A4" s="5" t="s">
        <v>52</v>
      </c>
      <c r="B4" s="5" t="s">
        <v>33</v>
      </c>
      <c r="C4" s="5"/>
      <c r="D4" s="5" t="s">
        <v>34</v>
      </c>
      <c r="E4" s="6"/>
      <c r="F4" s="5" t="s">
        <v>35</v>
      </c>
      <c r="G4" s="5" t="s">
        <v>36</v>
      </c>
      <c r="H4" s="5" t="s">
        <v>37</v>
      </c>
      <c r="I4" s="5" t="s">
        <v>53</v>
      </c>
      <c r="J4" s="5">
        <v>7</v>
      </c>
      <c r="K4" s="5">
        <v>1060</v>
      </c>
      <c r="L4" s="5">
        <v>2792</v>
      </c>
      <c r="M4" s="5">
        <v>3852</v>
      </c>
      <c r="N4" s="5"/>
      <c r="O4" s="5"/>
      <c r="P4" s="5" t="str">
        <f t="shared" si="0"/>
        <v/>
      </c>
      <c r="Q4" s="5"/>
      <c r="R4" s="5" t="str">
        <f t="shared" si="1"/>
        <v>significant</v>
      </c>
      <c r="S4" s="5">
        <v>3.48E-4</v>
      </c>
      <c r="T4" s="5" t="s">
        <v>54</v>
      </c>
      <c r="U4" s="5"/>
      <c r="V4" s="7" t="s">
        <v>40</v>
      </c>
      <c r="W4" s="7" t="s">
        <v>41</v>
      </c>
      <c r="X4" s="5" t="s">
        <v>55</v>
      </c>
      <c r="Y4" s="5" t="s">
        <v>43</v>
      </c>
      <c r="Z4" s="5" t="s">
        <v>56</v>
      </c>
      <c r="AA4" s="5" t="s">
        <v>45</v>
      </c>
      <c r="AB4" s="5" t="s">
        <v>46</v>
      </c>
      <c r="AC4" s="5" t="s">
        <v>46</v>
      </c>
      <c r="AD4" s="5" t="s">
        <v>46</v>
      </c>
      <c r="AE4" s="5" t="s">
        <v>47</v>
      </c>
      <c r="AF4" s="5" t="s">
        <v>57</v>
      </c>
    </row>
    <row r="5" spans="1:32" ht="30" customHeight="1" x14ac:dyDescent="0.35">
      <c r="A5" s="5" t="s">
        <v>58</v>
      </c>
      <c r="B5" s="5" t="s">
        <v>33</v>
      </c>
      <c r="C5" s="5"/>
      <c r="D5" s="5" t="s">
        <v>34</v>
      </c>
      <c r="E5" s="6"/>
      <c r="F5" s="5" t="s">
        <v>35</v>
      </c>
      <c r="G5" s="5" t="s">
        <v>36</v>
      </c>
      <c r="H5" s="5" t="s">
        <v>37</v>
      </c>
      <c r="I5" s="5" t="s">
        <v>59</v>
      </c>
      <c r="J5" s="5">
        <v>9</v>
      </c>
      <c r="K5" s="5">
        <v>3048</v>
      </c>
      <c r="L5" s="5">
        <v>6229</v>
      </c>
      <c r="M5" s="5">
        <v>9277</v>
      </c>
      <c r="N5" s="5"/>
      <c r="O5" s="5"/>
      <c r="P5" s="5" t="str">
        <f t="shared" si="0"/>
        <v/>
      </c>
      <c r="Q5" s="5"/>
      <c r="R5" s="5" t="str">
        <f t="shared" si="1"/>
        <v>insignificant</v>
      </c>
      <c r="S5" s="5">
        <v>0.130025</v>
      </c>
      <c r="T5" s="5" t="s">
        <v>60</v>
      </c>
      <c r="U5" s="5"/>
      <c r="V5" s="7" t="s">
        <v>40</v>
      </c>
      <c r="W5" s="7" t="s">
        <v>41</v>
      </c>
      <c r="X5" s="5" t="s">
        <v>55</v>
      </c>
      <c r="Y5" s="5" t="s">
        <v>43</v>
      </c>
      <c r="Z5" s="5" t="s">
        <v>44</v>
      </c>
      <c r="AA5" s="5" t="s">
        <v>45</v>
      </c>
      <c r="AB5" s="5" t="s">
        <v>46</v>
      </c>
      <c r="AC5" s="5" t="s">
        <v>46</v>
      </c>
      <c r="AD5" s="5" t="s">
        <v>46</v>
      </c>
      <c r="AE5" s="5" t="s">
        <v>47</v>
      </c>
      <c r="AF5" s="5" t="s">
        <v>48</v>
      </c>
    </row>
    <row r="6" spans="1:32" ht="30" customHeight="1" x14ac:dyDescent="0.35">
      <c r="A6" s="5" t="s">
        <v>61</v>
      </c>
      <c r="B6" s="5" t="s">
        <v>33</v>
      </c>
      <c r="C6" s="5"/>
      <c r="D6" s="5" t="s">
        <v>34</v>
      </c>
      <c r="E6" s="17"/>
      <c r="F6" s="5" t="s">
        <v>35</v>
      </c>
      <c r="G6" s="5" t="s">
        <v>36</v>
      </c>
      <c r="H6" s="5" t="s">
        <v>37</v>
      </c>
      <c r="I6" s="5" t="s">
        <v>62</v>
      </c>
      <c r="J6" s="5">
        <v>8</v>
      </c>
      <c r="K6" s="5">
        <v>1099</v>
      </c>
      <c r="L6" s="5">
        <v>5624</v>
      </c>
      <c r="M6" s="5">
        <v>6723</v>
      </c>
      <c r="N6" s="5"/>
      <c r="O6" s="5"/>
      <c r="P6" s="5" t="str">
        <f t="shared" si="0"/>
        <v/>
      </c>
      <c r="Q6" s="5"/>
      <c r="R6" s="5" t="str">
        <f t="shared" si="1"/>
        <v>insignificant</v>
      </c>
      <c r="S6" s="5">
        <v>0.41787600000000003</v>
      </c>
      <c r="T6" s="5">
        <v>0.71</v>
      </c>
      <c r="U6" s="5"/>
      <c r="V6" s="7" t="s">
        <v>40</v>
      </c>
      <c r="W6" s="7" t="s">
        <v>41</v>
      </c>
      <c r="X6" s="5" t="s">
        <v>43</v>
      </c>
      <c r="Y6" s="5" t="s">
        <v>43</v>
      </c>
      <c r="Z6" s="5" t="s">
        <v>44</v>
      </c>
      <c r="AA6" s="5" t="s">
        <v>45</v>
      </c>
      <c r="AB6" s="5" t="s">
        <v>46</v>
      </c>
      <c r="AC6" s="5" t="s">
        <v>46</v>
      </c>
      <c r="AD6" s="5" t="s">
        <v>46</v>
      </c>
      <c r="AE6" s="5" t="s">
        <v>47</v>
      </c>
      <c r="AF6" s="5" t="s">
        <v>48</v>
      </c>
    </row>
    <row r="7" spans="1:32" ht="30" hidden="1" customHeight="1" x14ac:dyDescent="0.35">
      <c r="A7" s="5" t="s">
        <v>32</v>
      </c>
      <c r="B7" s="5" t="s">
        <v>63</v>
      </c>
      <c r="C7" s="5" t="s">
        <v>64</v>
      </c>
      <c r="D7" s="5" t="s">
        <v>34</v>
      </c>
      <c r="E7" s="6"/>
      <c r="F7" s="5" t="s">
        <v>35</v>
      </c>
      <c r="G7" s="5" t="s">
        <v>36</v>
      </c>
      <c r="H7" s="5" t="s">
        <v>37</v>
      </c>
      <c r="I7" s="5" t="s">
        <v>65</v>
      </c>
      <c r="J7" s="5">
        <v>11</v>
      </c>
      <c r="K7" s="5">
        <v>2234</v>
      </c>
      <c r="L7" s="5">
        <v>4589</v>
      </c>
      <c r="M7" s="5">
        <v>6823</v>
      </c>
      <c r="N7" s="5"/>
      <c r="O7" s="5"/>
      <c r="P7" s="5" t="str">
        <f t="shared" si="0"/>
        <v/>
      </c>
      <c r="Q7" s="5"/>
      <c r="R7" s="5" t="str">
        <f t="shared" si="1"/>
        <v>significant</v>
      </c>
      <c r="S7" s="5">
        <v>1.1048000000000001E-2</v>
      </c>
      <c r="T7" s="5" t="s">
        <v>39</v>
      </c>
      <c r="U7" s="5"/>
      <c r="V7" s="7" t="s">
        <v>40</v>
      </c>
      <c r="W7" s="7" t="s">
        <v>41</v>
      </c>
      <c r="X7" s="5" t="s">
        <v>42</v>
      </c>
      <c r="Y7" s="5" t="s">
        <v>43</v>
      </c>
      <c r="Z7" s="5" t="s">
        <v>56</v>
      </c>
      <c r="AA7" s="5" t="s">
        <v>45</v>
      </c>
      <c r="AB7" s="5" t="s">
        <v>46</v>
      </c>
      <c r="AC7" s="5" t="s">
        <v>46</v>
      </c>
      <c r="AD7" s="5" t="s">
        <v>46</v>
      </c>
      <c r="AE7" s="5" t="s">
        <v>47</v>
      </c>
      <c r="AF7" s="5" t="s">
        <v>66</v>
      </c>
    </row>
    <row r="8" spans="1:32" ht="30" hidden="1" customHeight="1" x14ac:dyDescent="0.35">
      <c r="A8" s="5" t="s">
        <v>32</v>
      </c>
      <c r="B8" s="5" t="s">
        <v>67</v>
      </c>
      <c r="C8" s="5" t="s">
        <v>68</v>
      </c>
      <c r="D8" s="5" t="s">
        <v>34</v>
      </c>
      <c r="E8" s="6"/>
      <c r="F8" s="5" t="s">
        <v>35</v>
      </c>
      <c r="G8" s="5" t="s">
        <v>36</v>
      </c>
      <c r="H8" s="5" t="s">
        <v>37</v>
      </c>
      <c r="I8" s="5" t="s">
        <v>69</v>
      </c>
      <c r="J8" s="5">
        <v>14</v>
      </c>
      <c r="K8" s="5">
        <v>1164</v>
      </c>
      <c r="L8" s="5">
        <v>1877</v>
      </c>
      <c r="M8" s="5">
        <v>3041</v>
      </c>
      <c r="N8" s="5"/>
      <c r="O8" s="5"/>
      <c r="P8" s="5" t="str">
        <f t="shared" si="0"/>
        <v/>
      </c>
      <c r="Q8" s="5"/>
      <c r="R8" s="5" t="str">
        <f t="shared" si="1"/>
        <v>significant</v>
      </c>
      <c r="S8" s="5">
        <v>2.1166999999999998E-2</v>
      </c>
      <c r="T8" s="5" t="s">
        <v>39</v>
      </c>
      <c r="U8" s="5"/>
      <c r="V8" s="7" t="s">
        <v>40</v>
      </c>
      <c r="W8" s="7" t="s">
        <v>41</v>
      </c>
      <c r="X8" s="5" t="s">
        <v>42</v>
      </c>
      <c r="Y8" s="5" t="s">
        <v>43</v>
      </c>
      <c r="Z8" s="5" t="s">
        <v>56</v>
      </c>
      <c r="AA8" s="5" t="s">
        <v>45</v>
      </c>
      <c r="AB8" s="5" t="s">
        <v>46</v>
      </c>
      <c r="AC8" s="5" t="s">
        <v>46</v>
      </c>
      <c r="AD8" s="5" t="s">
        <v>46</v>
      </c>
      <c r="AE8" s="5" t="s">
        <v>47</v>
      </c>
      <c r="AF8" s="5" t="s">
        <v>66</v>
      </c>
    </row>
    <row r="9" spans="1:32" ht="30" customHeight="1" x14ac:dyDescent="0.35">
      <c r="A9" s="5" t="s">
        <v>70</v>
      </c>
      <c r="B9" s="5" t="s">
        <v>33</v>
      </c>
      <c r="C9" s="13"/>
      <c r="D9" s="5" t="s">
        <v>71</v>
      </c>
      <c r="E9" s="6"/>
      <c r="F9" s="5" t="s">
        <v>35</v>
      </c>
      <c r="G9" s="5" t="s">
        <v>72</v>
      </c>
      <c r="H9" s="5" t="s">
        <v>73</v>
      </c>
      <c r="I9" s="5" t="s">
        <v>74</v>
      </c>
      <c r="J9" s="6">
        <v>4</v>
      </c>
      <c r="K9" s="6"/>
      <c r="L9" s="6"/>
      <c r="M9" s="6"/>
      <c r="N9" s="6"/>
      <c r="O9" s="6"/>
      <c r="P9" s="5" t="str">
        <f t="shared" si="0"/>
        <v>Not heterogeneous</v>
      </c>
      <c r="Q9" s="5">
        <v>42.4</v>
      </c>
      <c r="R9" s="5" t="str">
        <f t="shared" si="1"/>
        <v>insignificant</v>
      </c>
      <c r="S9" s="5">
        <v>0.34281</v>
      </c>
      <c r="T9" s="6">
        <v>0.108</v>
      </c>
      <c r="U9" s="5"/>
      <c r="V9" s="7" t="s">
        <v>75</v>
      </c>
      <c r="W9" s="7" t="s">
        <v>41</v>
      </c>
      <c r="X9" s="5" t="s">
        <v>55</v>
      </c>
      <c r="Y9" s="5" t="s">
        <v>43</v>
      </c>
      <c r="Z9" s="5" t="s">
        <v>44</v>
      </c>
      <c r="AA9" s="5" t="s">
        <v>45</v>
      </c>
      <c r="AB9" s="5" t="s">
        <v>76</v>
      </c>
      <c r="AC9" s="5" t="s">
        <v>46</v>
      </c>
      <c r="AD9" s="5" t="s">
        <v>76</v>
      </c>
      <c r="AE9" s="5" t="s">
        <v>47</v>
      </c>
      <c r="AF9" s="5" t="s">
        <v>48</v>
      </c>
    </row>
    <row r="10" spans="1:32" ht="30" customHeight="1" x14ac:dyDescent="0.35">
      <c r="A10" s="5" t="s">
        <v>32</v>
      </c>
      <c r="B10" s="5" t="s">
        <v>33</v>
      </c>
      <c r="C10" s="5"/>
      <c r="D10" s="5" t="s">
        <v>71</v>
      </c>
      <c r="E10" s="6"/>
      <c r="F10" s="5" t="s">
        <v>35</v>
      </c>
      <c r="G10" s="5" t="s">
        <v>72</v>
      </c>
      <c r="H10" s="5" t="s">
        <v>73</v>
      </c>
      <c r="I10" s="5" t="s">
        <v>77</v>
      </c>
      <c r="J10" s="5">
        <v>3</v>
      </c>
      <c r="K10" s="5"/>
      <c r="L10" s="5"/>
      <c r="M10" s="5"/>
      <c r="N10" s="5"/>
      <c r="O10" s="5"/>
      <c r="P10" s="5" t="str">
        <f t="shared" si="0"/>
        <v/>
      </c>
      <c r="Q10" s="5"/>
      <c r="R10" s="5" t="str">
        <f t="shared" si="1"/>
        <v>significant</v>
      </c>
      <c r="S10" s="5">
        <v>2.2343999999999999E-2</v>
      </c>
      <c r="T10" s="5"/>
      <c r="U10" s="5"/>
      <c r="V10" s="7" t="s">
        <v>75</v>
      </c>
      <c r="W10" s="7" t="s">
        <v>41</v>
      </c>
      <c r="X10" s="5" t="s">
        <v>78</v>
      </c>
      <c r="Y10" s="5" t="s">
        <v>43</v>
      </c>
      <c r="Z10" s="5" t="s">
        <v>56</v>
      </c>
      <c r="AA10" s="5" t="s">
        <v>45</v>
      </c>
      <c r="AB10" s="5" t="s">
        <v>76</v>
      </c>
      <c r="AC10" s="5" t="s">
        <v>46</v>
      </c>
      <c r="AD10" s="5" t="s">
        <v>76</v>
      </c>
      <c r="AE10" s="5" t="s">
        <v>75</v>
      </c>
      <c r="AF10" s="5" t="s">
        <v>66</v>
      </c>
    </row>
    <row r="11" spans="1:32" ht="30" customHeight="1" x14ac:dyDescent="0.35">
      <c r="A11" s="5" t="s">
        <v>79</v>
      </c>
      <c r="B11" s="5" t="s">
        <v>33</v>
      </c>
      <c r="C11" s="5"/>
      <c r="D11" s="5" t="s">
        <v>71</v>
      </c>
      <c r="E11" s="6"/>
      <c r="F11" s="5" t="s">
        <v>35</v>
      </c>
      <c r="G11" s="5" t="s">
        <v>72</v>
      </c>
      <c r="H11" s="5" t="s">
        <v>73</v>
      </c>
      <c r="I11" s="5" t="s">
        <v>80</v>
      </c>
      <c r="J11" s="5">
        <v>1</v>
      </c>
      <c r="K11" s="5"/>
      <c r="L11" s="5"/>
      <c r="M11" s="5"/>
      <c r="N11" s="5"/>
      <c r="O11" s="5"/>
      <c r="P11" s="5" t="str">
        <f t="shared" si="0"/>
        <v/>
      </c>
      <c r="Q11" s="5"/>
      <c r="R11" s="5" t="str">
        <f t="shared" si="1"/>
        <v>insignificant</v>
      </c>
      <c r="S11" s="5">
        <v>5.0046E-2</v>
      </c>
      <c r="T11" s="5"/>
      <c r="U11" s="5"/>
      <c r="V11" s="7" t="s">
        <v>75</v>
      </c>
      <c r="W11" s="7" t="s">
        <v>41</v>
      </c>
      <c r="X11" s="5" t="s">
        <v>78</v>
      </c>
      <c r="Y11" s="5" t="s">
        <v>43</v>
      </c>
      <c r="Z11" s="5" t="s">
        <v>44</v>
      </c>
      <c r="AA11" s="5" t="s">
        <v>45</v>
      </c>
      <c r="AB11" s="5" t="s">
        <v>76</v>
      </c>
      <c r="AC11" s="5" t="s">
        <v>46</v>
      </c>
      <c r="AD11" s="5" t="s">
        <v>76</v>
      </c>
      <c r="AE11" s="5" t="s">
        <v>47</v>
      </c>
      <c r="AF11" s="5" t="s">
        <v>48</v>
      </c>
    </row>
    <row r="12" spans="1:32" ht="30" hidden="1" customHeight="1" x14ac:dyDescent="0.35">
      <c r="A12" s="5" t="s">
        <v>52</v>
      </c>
      <c r="B12" s="5" t="s">
        <v>67</v>
      </c>
      <c r="C12" s="5" t="s">
        <v>81</v>
      </c>
      <c r="D12" s="5" t="s">
        <v>82</v>
      </c>
      <c r="E12" s="6" t="s">
        <v>83</v>
      </c>
      <c r="F12" s="5" t="s">
        <v>35</v>
      </c>
      <c r="G12" s="5" t="s">
        <v>84</v>
      </c>
      <c r="H12" s="5" t="s">
        <v>37</v>
      </c>
      <c r="I12" s="5" t="s">
        <v>85</v>
      </c>
      <c r="J12" s="5">
        <v>5</v>
      </c>
      <c r="K12" s="5"/>
      <c r="L12" s="5"/>
      <c r="M12" s="5"/>
      <c r="N12" s="5"/>
      <c r="O12" s="5"/>
      <c r="P12" s="5" t="str">
        <f t="shared" si="0"/>
        <v>Heterogeneous</v>
      </c>
      <c r="Q12" s="5" t="s">
        <v>86</v>
      </c>
      <c r="R12" s="5" t="str">
        <f t="shared" si="1"/>
        <v>significant</v>
      </c>
      <c r="S12" s="5">
        <v>1.405E-3</v>
      </c>
      <c r="T12" s="5">
        <v>0.85599999999999998</v>
      </c>
      <c r="U12" s="5"/>
      <c r="V12" s="7" t="s">
        <v>41</v>
      </c>
      <c r="W12" s="7" t="s">
        <v>75</v>
      </c>
      <c r="X12" s="5" t="s">
        <v>43</v>
      </c>
      <c r="Y12" s="5" t="s">
        <v>43</v>
      </c>
      <c r="Z12" s="5" t="s">
        <v>56</v>
      </c>
      <c r="AA12" s="5" t="s">
        <v>45</v>
      </c>
      <c r="AB12" s="5" t="s">
        <v>46</v>
      </c>
      <c r="AC12" s="5" t="s">
        <v>46</v>
      </c>
      <c r="AD12" s="5" t="s">
        <v>46</v>
      </c>
      <c r="AE12" s="5" t="s">
        <v>75</v>
      </c>
      <c r="AF12" s="5" t="s">
        <v>66</v>
      </c>
    </row>
    <row r="13" spans="1:32" ht="30" hidden="1" customHeight="1" x14ac:dyDescent="0.35">
      <c r="A13" s="5" t="s">
        <v>52</v>
      </c>
      <c r="B13" s="5" t="s">
        <v>67</v>
      </c>
      <c r="C13" s="5" t="s">
        <v>87</v>
      </c>
      <c r="D13" s="5" t="s">
        <v>82</v>
      </c>
      <c r="E13" s="6" t="s">
        <v>83</v>
      </c>
      <c r="F13" s="5" t="s">
        <v>35</v>
      </c>
      <c r="G13" s="5" t="s">
        <v>84</v>
      </c>
      <c r="H13" s="5" t="s">
        <v>37</v>
      </c>
      <c r="I13" s="5" t="s">
        <v>88</v>
      </c>
      <c r="J13" s="5">
        <v>5</v>
      </c>
      <c r="K13" s="5"/>
      <c r="L13" s="5"/>
      <c r="M13" s="5"/>
      <c r="N13" s="5"/>
      <c r="O13" s="5"/>
      <c r="P13" s="5" t="str">
        <f t="shared" si="0"/>
        <v>Heterogeneous</v>
      </c>
      <c r="Q13" s="5">
        <v>60.9</v>
      </c>
      <c r="R13" s="5" t="str">
        <f t="shared" si="1"/>
        <v>insignificant</v>
      </c>
      <c r="S13" s="5">
        <v>0.51419599999999999</v>
      </c>
      <c r="T13" s="5" t="s">
        <v>89</v>
      </c>
      <c r="U13" s="5"/>
      <c r="V13" s="7" t="s">
        <v>41</v>
      </c>
      <c r="W13" s="7" t="s">
        <v>75</v>
      </c>
      <c r="X13" s="5" t="s">
        <v>42</v>
      </c>
      <c r="Y13" s="5" t="s">
        <v>43</v>
      </c>
      <c r="Z13" s="5" t="s">
        <v>44</v>
      </c>
      <c r="AA13" s="5" t="s">
        <v>45</v>
      </c>
      <c r="AB13" s="5" t="s">
        <v>46</v>
      </c>
      <c r="AC13" s="5" t="s">
        <v>46</v>
      </c>
      <c r="AD13" s="5" t="s">
        <v>46</v>
      </c>
      <c r="AE13" s="5" t="s">
        <v>47</v>
      </c>
      <c r="AF13" s="5" t="s">
        <v>48</v>
      </c>
    </row>
    <row r="14" spans="1:32" ht="30" hidden="1" customHeight="1" x14ac:dyDescent="0.35">
      <c r="A14" s="5" t="s">
        <v>52</v>
      </c>
      <c r="B14" s="5" t="s">
        <v>67</v>
      </c>
      <c r="C14" s="5" t="s">
        <v>90</v>
      </c>
      <c r="D14" s="5" t="s">
        <v>82</v>
      </c>
      <c r="E14" s="6" t="s">
        <v>83</v>
      </c>
      <c r="F14" s="5" t="s">
        <v>35</v>
      </c>
      <c r="G14" s="5" t="s">
        <v>84</v>
      </c>
      <c r="H14" s="5" t="s">
        <v>37</v>
      </c>
      <c r="I14" s="5" t="s">
        <v>91</v>
      </c>
      <c r="J14" s="5">
        <v>5</v>
      </c>
      <c r="K14" s="5"/>
      <c r="L14" s="5"/>
      <c r="M14" s="5"/>
      <c r="N14" s="5"/>
      <c r="O14" s="5"/>
      <c r="P14" s="5" t="str">
        <f t="shared" si="0"/>
        <v>Heterogeneous</v>
      </c>
      <c r="Q14" s="5" t="s">
        <v>86</v>
      </c>
      <c r="R14" s="5" t="str">
        <f t="shared" si="1"/>
        <v>insignificant</v>
      </c>
      <c r="S14" s="5">
        <v>0.437857</v>
      </c>
      <c r="T14" s="5">
        <v>0.75600000000000001</v>
      </c>
      <c r="U14" s="5"/>
      <c r="V14" s="7" t="s">
        <v>41</v>
      </c>
      <c r="W14" s="7" t="s">
        <v>75</v>
      </c>
      <c r="X14" s="5" t="s">
        <v>43</v>
      </c>
      <c r="Y14" s="5" t="s">
        <v>43</v>
      </c>
      <c r="Z14" s="5" t="s">
        <v>44</v>
      </c>
      <c r="AA14" s="5" t="s">
        <v>45</v>
      </c>
      <c r="AB14" s="5" t="s">
        <v>46</v>
      </c>
      <c r="AC14" s="5" t="s">
        <v>46</v>
      </c>
      <c r="AD14" s="5" t="s">
        <v>46</v>
      </c>
      <c r="AE14" s="5" t="s">
        <v>47</v>
      </c>
      <c r="AF14" s="5" t="s">
        <v>48</v>
      </c>
    </row>
    <row r="15" spans="1:32" ht="30" customHeight="1" x14ac:dyDescent="0.35">
      <c r="A15" s="5" t="s">
        <v>52</v>
      </c>
      <c r="B15" s="5" t="s">
        <v>33</v>
      </c>
      <c r="C15" s="5"/>
      <c r="D15" s="5" t="s">
        <v>82</v>
      </c>
      <c r="E15" s="6" t="s">
        <v>83</v>
      </c>
      <c r="F15" s="5" t="s">
        <v>35</v>
      </c>
      <c r="G15" s="5" t="s">
        <v>84</v>
      </c>
      <c r="H15" s="5" t="s">
        <v>37</v>
      </c>
      <c r="I15" s="5" t="s">
        <v>92</v>
      </c>
      <c r="J15" s="5">
        <v>8</v>
      </c>
      <c r="K15" s="5">
        <v>2900</v>
      </c>
      <c r="L15" s="5"/>
      <c r="M15" s="5"/>
      <c r="N15" s="5"/>
      <c r="O15" s="5"/>
      <c r="P15" s="5" t="str">
        <f t="shared" si="0"/>
        <v>Heterogeneous</v>
      </c>
      <c r="Q15" s="5" t="s">
        <v>93</v>
      </c>
      <c r="R15" s="5" t="str">
        <f t="shared" si="1"/>
        <v>significant</v>
      </c>
      <c r="S15" s="5">
        <v>1.9132E-2</v>
      </c>
      <c r="T15" s="5">
        <v>0.39100000000000001</v>
      </c>
      <c r="U15" s="5">
        <v>0.66500000000000004</v>
      </c>
      <c r="V15" s="7" t="s">
        <v>41</v>
      </c>
      <c r="W15" s="7" t="s">
        <v>75</v>
      </c>
      <c r="X15" s="5" t="s">
        <v>43</v>
      </c>
      <c r="Y15" s="5" t="s">
        <v>43</v>
      </c>
      <c r="Z15" s="5" t="s">
        <v>56</v>
      </c>
      <c r="AA15" s="5" t="s">
        <v>43</v>
      </c>
      <c r="AB15" s="5" t="s">
        <v>46</v>
      </c>
      <c r="AC15" s="5" t="s">
        <v>46</v>
      </c>
      <c r="AD15" s="5" t="s">
        <v>46</v>
      </c>
      <c r="AE15" s="5" t="s">
        <v>75</v>
      </c>
      <c r="AF15" s="5" t="s">
        <v>66</v>
      </c>
    </row>
    <row r="16" spans="1:32" ht="30" hidden="1" customHeight="1" x14ac:dyDescent="0.35">
      <c r="A16" s="5" t="s">
        <v>52</v>
      </c>
      <c r="B16" s="5" t="s">
        <v>63</v>
      </c>
      <c r="C16" s="5" t="s">
        <v>64</v>
      </c>
      <c r="D16" s="5" t="s">
        <v>82</v>
      </c>
      <c r="E16" s="6" t="s">
        <v>83</v>
      </c>
      <c r="F16" s="5" t="s">
        <v>35</v>
      </c>
      <c r="G16" s="5" t="s">
        <v>84</v>
      </c>
      <c r="H16" s="5" t="s">
        <v>37</v>
      </c>
      <c r="I16" s="5" t="s">
        <v>94</v>
      </c>
      <c r="J16" s="5">
        <v>4</v>
      </c>
      <c r="K16" s="5">
        <v>1407</v>
      </c>
      <c r="L16" s="5"/>
      <c r="M16" s="5"/>
      <c r="N16" s="5"/>
      <c r="O16" s="5"/>
      <c r="P16" s="5" t="str">
        <f t="shared" si="0"/>
        <v>Heterogeneous</v>
      </c>
      <c r="Q16" s="6" t="s">
        <v>95</v>
      </c>
      <c r="R16" s="5" t="str">
        <f t="shared" si="1"/>
        <v>insignificant</v>
      </c>
      <c r="S16" s="5">
        <v>0.52954599999999996</v>
      </c>
      <c r="T16" s="5">
        <v>0.34</v>
      </c>
      <c r="U16" s="5"/>
      <c r="V16" s="7" t="s">
        <v>41</v>
      </c>
      <c r="W16" s="7" t="s">
        <v>75</v>
      </c>
      <c r="X16" s="5" t="s">
        <v>43</v>
      </c>
      <c r="Y16" s="5" t="s">
        <v>43</v>
      </c>
      <c r="Z16" s="5" t="s">
        <v>44</v>
      </c>
      <c r="AA16" s="5" t="s">
        <v>45</v>
      </c>
      <c r="AB16" s="5" t="s">
        <v>46</v>
      </c>
      <c r="AC16" s="5" t="s">
        <v>46</v>
      </c>
      <c r="AD16" s="5" t="s">
        <v>46</v>
      </c>
      <c r="AE16" s="5" t="s">
        <v>47</v>
      </c>
      <c r="AF16" s="5" t="s">
        <v>66</v>
      </c>
    </row>
    <row r="17" spans="1:32" ht="30" hidden="1" customHeight="1" x14ac:dyDescent="0.35">
      <c r="A17" s="5" t="s">
        <v>52</v>
      </c>
      <c r="B17" s="5" t="s">
        <v>63</v>
      </c>
      <c r="C17" s="5" t="s">
        <v>96</v>
      </c>
      <c r="D17" s="5" t="s">
        <v>82</v>
      </c>
      <c r="E17" s="6" t="s">
        <v>83</v>
      </c>
      <c r="F17" s="5" t="s">
        <v>35</v>
      </c>
      <c r="G17" s="5" t="s">
        <v>84</v>
      </c>
      <c r="H17" s="5" t="s">
        <v>37</v>
      </c>
      <c r="I17" s="5" t="s">
        <v>97</v>
      </c>
      <c r="J17" s="5">
        <v>3</v>
      </c>
      <c r="K17" s="5">
        <v>1057</v>
      </c>
      <c r="L17" s="5"/>
      <c r="M17" s="5"/>
      <c r="N17" s="5"/>
      <c r="O17" s="5"/>
      <c r="P17" s="5" t="str">
        <f t="shared" si="0"/>
        <v>Heterogeneous</v>
      </c>
      <c r="Q17" s="5">
        <v>74.599999999999994</v>
      </c>
      <c r="R17" s="5" t="str">
        <f t="shared" si="1"/>
        <v>insignificant</v>
      </c>
      <c r="S17" s="5">
        <v>0.35825600000000002</v>
      </c>
      <c r="T17" s="5" t="s">
        <v>98</v>
      </c>
      <c r="U17" s="5"/>
      <c r="V17" s="7" t="s">
        <v>41</v>
      </c>
      <c r="W17" s="7" t="s">
        <v>75</v>
      </c>
      <c r="X17" s="5" t="s">
        <v>42</v>
      </c>
      <c r="Y17" s="5" t="s">
        <v>43</v>
      </c>
      <c r="Z17" s="5" t="s">
        <v>44</v>
      </c>
      <c r="AA17" s="5" t="s">
        <v>45</v>
      </c>
      <c r="AB17" s="5" t="s">
        <v>46</v>
      </c>
      <c r="AC17" s="5" t="s">
        <v>46</v>
      </c>
      <c r="AD17" s="5" t="s">
        <v>46</v>
      </c>
      <c r="AE17" s="5" t="s">
        <v>47</v>
      </c>
      <c r="AF17" s="5" t="s">
        <v>48</v>
      </c>
    </row>
    <row r="18" spans="1:32" ht="30" customHeight="1" x14ac:dyDescent="0.35">
      <c r="A18" s="5" t="s">
        <v>99</v>
      </c>
      <c r="B18" s="5" t="s">
        <v>33</v>
      </c>
      <c r="C18" s="5"/>
      <c r="D18" s="5" t="s">
        <v>34</v>
      </c>
      <c r="E18" s="8" t="s">
        <v>100</v>
      </c>
      <c r="F18" s="5" t="s">
        <v>35</v>
      </c>
      <c r="G18" s="5" t="s">
        <v>101</v>
      </c>
      <c r="H18" s="5" t="s">
        <v>37</v>
      </c>
      <c r="I18" s="5" t="s">
        <v>102</v>
      </c>
      <c r="J18" s="5">
        <v>36</v>
      </c>
      <c r="K18" s="5"/>
      <c r="L18" s="5"/>
      <c r="M18" s="5"/>
      <c r="N18" s="5"/>
      <c r="O18" s="5"/>
      <c r="P18" s="5" t="str">
        <f t="shared" si="0"/>
        <v>Not heterogeneous</v>
      </c>
      <c r="Q18" s="5">
        <v>47.4</v>
      </c>
      <c r="R18" s="5" t="str">
        <f t="shared" si="1"/>
        <v>insignificant</v>
      </c>
      <c r="S18" s="5">
        <v>0.80779999999999996</v>
      </c>
      <c r="T18" s="5"/>
      <c r="U18" s="5">
        <v>7.0000000000000007E-2</v>
      </c>
      <c r="V18" s="7" t="s">
        <v>41</v>
      </c>
      <c r="W18" s="7" t="s">
        <v>75</v>
      </c>
      <c r="X18" s="5" t="s">
        <v>55</v>
      </c>
      <c r="Y18" s="5" t="s">
        <v>43</v>
      </c>
      <c r="Z18" s="5" t="s">
        <v>44</v>
      </c>
      <c r="AA18" s="5" t="s">
        <v>43</v>
      </c>
      <c r="AB18" s="5" t="s">
        <v>76</v>
      </c>
      <c r="AC18" s="5" t="s">
        <v>46</v>
      </c>
      <c r="AD18" s="5" t="s">
        <v>46</v>
      </c>
      <c r="AE18" s="5" t="s">
        <v>47</v>
      </c>
      <c r="AF18" s="5" t="s">
        <v>48</v>
      </c>
    </row>
    <row r="19" spans="1:32" ht="30" hidden="1" customHeight="1" x14ac:dyDescent="0.35">
      <c r="A19" s="5" t="s">
        <v>99</v>
      </c>
      <c r="B19" s="5" t="s">
        <v>67</v>
      </c>
      <c r="C19" s="5" t="s">
        <v>81</v>
      </c>
      <c r="D19" s="5" t="s">
        <v>34</v>
      </c>
      <c r="E19" s="8" t="s">
        <v>100</v>
      </c>
      <c r="F19" s="5" t="s">
        <v>35</v>
      </c>
      <c r="G19" s="5" t="s">
        <v>101</v>
      </c>
      <c r="H19" s="5" t="s">
        <v>37</v>
      </c>
      <c r="I19" s="5" t="s">
        <v>103</v>
      </c>
      <c r="J19" s="5">
        <v>25</v>
      </c>
      <c r="K19" s="5"/>
      <c r="L19" s="5"/>
      <c r="M19" s="5"/>
      <c r="N19" s="5"/>
      <c r="O19" s="5"/>
      <c r="P19" s="5" t="str">
        <f t="shared" si="0"/>
        <v>Not heterogeneous</v>
      </c>
      <c r="Q19" s="5">
        <v>39</v>
      </c>
      <c r="R19" s="5" t="str">
        <f t="shared" si="1"/>
        <v>insignificant</v>
      </c>
      <c r="S19" s="5">
        <v>0.61439999999999995</v>
      </c>
      <c r="T19" s="5"/>
      <c r="U19" s="5"/>
      <c r="V19" s="7" t="s">
        <v>41</v>
      </c>
      <c r="W19" s="7" t="s">
        <v>75</v>
      </c>
      <c r="X19" s="5" t="s">
        <v>55</v>
      </c>
      <c r="Y19" s="5" t="s">
        <v>43</v>
      </c>
      <c r="Z19" s="5" t="s">
        <v>44</v>
      </c>
      <c r="AA19" s="5" t="s">
        <v>45</v>
      </c>
      <c r="AB19" s="5" t="s">
        <v>76</v>
      </c>
      <c r="AC19" s="5" t="s">
        <v>46</v>
      </c>
      <c r="AD19" s="5" t="s">
        <v>46</v>
      </c>
      <c r="AE19" s="5" t="s">
        <v>47</v>
      </c>
      <c r="AF19" s="5" t="s">
        <v>48</v>
      </c>
    </row>
    <row r="20" spans="1:32" ht="30" hidden="1" customHeight="1" x14ac:dyDescent="0.35">
      <c r="A20" s="5" t="s">
        <v>99</v>
      </c>
      <c r="B20" s="5" t="s">
        <v>67</v>
      </c>
      <c r="C20" s="5" t="s">
        <v>104</v>
      </c>
      <c r="D20" s="5" t="s">
        <v>34</v>
      </c>
      <c r="E20" s="8" t="s">
        <v>100</v>
      </c>
      <c r="F20" s="5" t="s">
        <v>35</v>
      </c>
      <c r="G20" s="5" t="s">
        <v>101</v>
      </c>
      <c r="H20" s="5" t="s">
        <v>37</v>
      </c>
      <c r="I20" s="5" t="s">
        <v>105</v>
      </c>
      <c r="J20" s="5">
        <v>23</v>
      </c>
      <c r="K20" s="5"/>
      <c r="L20" s="5"/>
      <c r="M20" s="5"/>
      <c r="N20" s="5"/>
      <c r="O20" s="5"/>
      <c r="P20" s="5" t="str">
        <f t="shared" si="0"/>
        <v>Heterogeneous</v>
      </c>
      <c r="Q20" s="5">
        <v>51</v>
      </c>
      <c r="R20" s="5" t="str">
        <f t="shared" si="1"/>
        <v>insignificant</v>
      </c>
      <c r="S20" s="5">
        <v>1</v>
      </c>
      <c r="T20" s="5"/>
      <c r="U20" s="5"/>
      <c r="V20" s="7" t="s">
        <v>41</v>
      </c>
      <c r="W20" s="7" t="s">
        <v>75</v>
      </c>
      <c r="X20" s="5" t="s">
        <v>42</v>
      </c>
      <c r="Y20" s="5" t="s">
        <v>43</v>
      </c>
      <c r="Z20" s="5" t="s">
        <v>44</v>
      </c>
      <c r="AA20" s="5" t="s">
        <v>45</v>
      </c>
      <c r="AB20" s="5" t="s">
        <v>76</v>
      </c>
      <c r="AC20" s="5" t="s">
        <v>46</v>
      </c>
      <c r="AD20" s="5" t="s">
        <v>46</v>
      </c>
      <c r="AE20" s="5" t="s">
        <v>47</v>
      </c>
      <c r="AF20" s="5" t="s">
        <v>48</v>
      </c>
    </row>
    <row r="21" spans="1:32" ht="30" hidden="1" customHeight="1" x14ac:dyDescent="0.35">
      <c r="A21" s="5" t="s">
        <v>99</v>
      </c>
      <c r="B21" s="5" t="s">
        <v>67</v>
      </c>
      <c r="C21" s="5" t="s">
        <v>68</v>
      </c>
      <c r="D21" s="5" t="s">
        <v>34</v>
      </c>
      <c r="E21" s="8" t="s">
        <v>100</v>
      </c>
      <c r="F21" s="5" t="s">
        <v>35</v>
      </c>
      <c r="G21" s="5" t="s">
        <v>101</v>
      </c>
      <c r="H21" s="5" t="s">
        <v>37</v>
      </c>
      <c r="I21" s="5" t="s">
        <v>106</v>
      </c>
      <c r="J21" s="5">
        <v>18</v>
      </c>
      <c r="K21" s="5"/>
      <c r="L21" s="5"/>
      <c r="M21" s="5"/>
      <c r="N21" s="5"/>
      <c r="O21" s="5"/>
      <c r="P21" s="5" t="str">
        <f t="shared" si="0"/>
        <v>Heterogeneous</v>
      </c>
      <c r="Q21" s="5">
        <v>87.8</v>
      </c>
      <c r="R21" s="5" t="str">
        <f t="shared" si="1"/>
        <v>insignificant</v>
      </c>
      <c r="S21" s="5">
        <v>0.16600000000000001</v>
      </c>
      <c r="T21" s="5"/>
      <c r="U21" s="5"/>
      <c r="V21" s="7" t="s">
        <v>41</v>
      </c>
      <c r="W21" s="7" t="s">
        <v>75</v>
      </c>
      <c r="X21" s="5" t="s">
        <v>42</v>
      </c>
      <c r="Y21" s="5" t="s">
        <v>43</v>
      </c>
      <c r="Z21" s="5" t="s">
        <v>44</v>
      </c>
      <c r="AA21" s="5" t="s">
        <v>45</v>
      </c>
      <c r="AB21" s="5" t="s">
        <v>76</v>
      </c>
      <c r="AC21" s="5" t="s">
        <v>46</v>
      </c>
      <c r="AD21" s="5" t="s">
        <v>46</v>
      </c>
      <c r="AE21" s="5" t="s">
        <v>47</v>
      </c>
      <c r="AF21" s="5" t="s">
        <v>48</v>
      </c>
    </row>
    <row r="22" spans="1:32" ht="30" customHeight="1" x14ac:dyDescent="0.35">
      <c r="A22" s="5" t="s">
        <v>107</v>
      </c>
      <c r="B22" s="5" t="s">
        <v>33</v>
      </c>
      <c r="C22" s="5"/>
      <c r="D22" s="5" t="s">
        <v>34</v>
      </c>
      <c r="E22" s="6" t="s">
        <v>108</v>
      </c>
      <c r="F22" s="5" t="s">
        <v>35</v>
      </c>
      <c r="G22" s="5" t="s">
        <v>109</v>
      </c>
      <c r="H22" s="5" t="s">
        <v>37</v>
      </c>
      <c r="I22" s="5" t="s">
        <v>110</v>
      </c>
      <c r="J22" s="5">
        <v>3</v>
      </c>
      <c r="K22" s="5">
        <v>478</v>
      </c>
      <c r="L22" s="5">
        <v>290</v>
      </c>
      <c r="M22" s="5">
        <v>768</v>
      </c>
      <c r="N22" s="5"/>
      <c r="O22" s="5"/>
      <c r="P22" s="5" t="str">
        <f t="shared" si="0"/>
        <v>Heterogeneous</v>
      </c>
      <c r="Q22" s="5">
        <v>52.5</v>
      </c>
      <c r="R22" s="5" t="str">
        <f t="shared" si="1"/>
        <v>insignificant</v>
      </c>
      <c r="S22" s="5">
        <v>5.6399999999999999E-2</v>
      </c>
      <c r="T22" s="5">
        <v>0.1217</v>
      </c>
      <c r="U22" s="5"/>
      <c r="V22" s="7" t="s">
        <v>75</v>
      </c>
      <c r="W22" s="7" t="s">
        <v>41</v>
      </c>
      <c r="X22" s="5" t="s">
        <v>42</v>
      </c>
      <c r="Y22" s="5" t="s">
        <v>43</v>
      </c>
      <c r="Z22" s="5" t="s">
        <v>56</v>
      </c>
      <c r="AA22" s="5" t="s">
        <v>45</v>
      </c>
      <c r="AB22" s="5" t="s">
        <v>46</v>
      </c>
      <c r="AC22" s="5" t="s">
        <v>46</v>
      </c>
      <c r="AD22" s="5" t="s">
        <v>46</v>
      </c>
      <c r="AE22" s="5" t="s">
        <v>47</v>
      </c>
      <c r="AF22" s="5" t="s">
        <v>48</v>
      </c>
    </row>
    <row r="23" spans="1:32" ht="30" customHeight="1" x14ac:dyDescent="0.35">
      <c r="A23" s="5" t="s">
        <v>58</v>
      </c>
      <c r="B23" s="5" t="s">
        <v>33</v>
      </c>
      <c r="C23" s="5"/>
      <c r="D23" s="5" t="s">
        <v>34</v>
      </c>
      <c r="E23" s="6" t="s">
        <v>111</v>
      </c>
      <c r="F23" s="5" t="s">
        <v>35</v>
      </c>
      <c r="G23" s="6" t="s">
        <v>112</v>
      </c>
      <c r="H23" s="5" t="s">
        <v>37</v>
      </c>
      <c r="I23" s="5" t="s">
        <v>113</v>
      </c>
      <c r="J23" s="5">
        <v>7</v>
      </c>
      <c r="K23" s="5">
        <v>2614</v>
      </c>
      <c r="L23" s="5">
        <v>5033</v>
      </c>
      <c r="M23" s="5">
        <v>7647</v>
      </c>
      <c r="N23" s="5"/>
      <c r="O23" s="5"/>
      <c r="P23" s="5" t="str">
        <f t="shared" si="0"/>
        <v>Heterogeneous</v>
      </c>
      <c r="Q23" s="5">
        <v>91</v>
      </c>
      <c r="R23" s="5" t="str">
        <f t="shared" si="1"/>
        <v>insignificant</v>
      </c>
      <c r="S23" s="5">
        <v>0.16</v>
      </c>
      <c r="T23" s="5" t="s">
        <v>114</v>
      </c>
      <c r="U23" s="5"/>
      <c r="V23" s="7" t="s">
        <v>115</v>
      </c>
      <c r="W23" s="7" t="s">
        <v>116</v>
      </c>
      <c r="X23" s="5" t="s">
        <v>42</v>
      </c>
      <c r="Y23" s="5" t="s">
        <v>43</v>
      </c>
      <c r="Z23" s="5" t="s">
        <v>44</v>
      </c>
      <c r="AA23" s="5" t="s">
        <v>45</v>
      </c>
      <c r="AB23" s="5" t="s">
        <v>46</v>
      </c>
      <c r="AC23" s="5" t="s">
        <v>46</v>
      </c>
      <c r="AD23" s="5" t="s">
        <v>46</v>
      </c>
      <c r="AE23" s="5" t="s">
        <v>47</v>
      </c>
      <c r="AF23" s="5" t="s">
        <v>48</v>
      </c>
    </row>
    <row r="24" spans="1:32" ht="30" hidden="1" customHeight="1" x14ac:dyDescent="0.35">
      <c r="A24" s="5" t="s">
        <v>58</v>
      </c>
      <c r="B24" s="5" t="s">
        <v>67</v>
      </c>
      <c r="C24" s="5" t="s">
        <v>90</v>
      </c>
      <c r="D24" s="5" t="s">
        <v>34</v>
      </c>
      <c r="E24" s="6" t="s">
        <v>111</v>
      </c>
      <c r="F24" s="5" t="s">
        <v>35</v>
      </c>
      <c r="G24" s="5" t="s">
        <v>112</v>
      </c>
      <c r="H24" s="5" t="s">
        <v>37</v>
      </c>
      <c r="I24" s="5" t="s">
        <v>117</v>
      </c>
      <c r="J24" s="5">
        <v>5</v>
      </c>
      <c r="K24" s="5">
        <v>396</v>
      </c>
      <c r="L24" s="5">
        <v>530</v>
      </c>
      <c r="M24" s="5">
        <v>926</v>
      </c>
      <c r="N24" s="5"/>
      <c r="O24" s="5"/>
      <c r="P24" s="5" t="str">
        <f t="shared" si="0"/>
        <v>Heterogeneous</v>
      </c>
      <c r="Q24" s="5">
        <v>84</v>
      </c>
      <c r="R24" s="5" t="str">
        <f t="shared" si="1"/>
        <v>significant</v>
      </c>
      <c r="S24" s="5">
        <v>7.0000000000000001E-3</v>
      </c>
      <c r="T24" s="5" t="s">
        <v>114</v>
      </c>
      <c r="U24" s="5"/>
      <c r="V24" s="7" t="s">
        <v>115</v>
      </c>
      <c r="W24" s="7" t="s">
        <v>116</v>
      </c>
      <c r="X24" s="5" t="s">
        <v>42</v>
      </c>
      <c r="Y24" s="5" t="s">
        <v>43</v>
      </c>
      <c r="Z24" s="5" t="s">
        <v>56</v>
      </c>
      <c r="AA24" s="5" t="s">
        <v>45</v>
      </c>
      <c r="AB24" s="5" t="s">
        <v>46</v>
      </c>
      <c r="AC24" s="5" t="s">
        <v>46</v>
      </c>
      <c r="AD24" s="5" t="s">
        <v>46</v>
      </c>
      <c r="AE24" s="5" t="s">
        <v>47</v>
      </c>
      <c r="AF24" s="5" t="s">
        <v>66</v>
      </c>
    </row>
    <row r="25" spans="1:32" ht="30" hidden="1" customHeight="1" x14ac:dyDescent="0.35">
      <c r="A25" s="5" t="s">
        <v>58</v>
      </c>
      <c r="B25" s="5" t="s">
        <v>63</v>
      </c>
      <c r="C25" s="5" t="s">
        <v>64</v>
      </c>
      <c r="D25" s="5" t="s">
        <v>34</v>
      </c>
      <c r="E25" s="6" t="s">
        <v>111</v>
      </c>
      <c r="F25" s="5" t="s">
        <v>35</v>
      </c>
      <c r="G25" s="5" t="s">
        <v>112</v>
      </c>
      <c r="H25" s="5" t="s">
        <v>37</v>
      </c>
      <c r="I25" s="5" t="s">
        <v>118</v>
      </c>
      <c r="J25" s="6">
        <v>5</v>
      </c>
      <c r="K25" s="6">
        <v>988</v>
      </c>
      <c r="L25" s="6">
        <v>1888</v>
      </c>
      <c r="M25" s="6">
        <v>2876</v>
      </c>
      <c r="N25" s="6"/>
      <c r="O25" s="6"/>
      <c r="P25" s="5" t="str">
        <f t="shared" si="0"/>
        <v>Heterogeneous</v>
      </c>
      <c r="Q25" s="6" t="s">
        <v>119</v>
      </c>
      <c r="R25" s="5" t="str">
        <f t="shared" si="1"/>
        <v>insignificant</v>
      </c>
      <c r="S25" s="6">
        <v>0.8</v>
      </c>
      <c r="T25" s="6">
        <v>0.4</v>
      </c>
      <c r="U25" s="6"/>
      <c r="V25" s="7" t="s">
        <v>115</v>
      </c>
      <c r="W25" s="7" t="s">
        <v>116</v>
      </c>
      <c r="X25" s="5" t="s">
        <v>43</v>
      </c>
      <c r="Y25" s="5" t="s">
        <v>43</v>
      </c>
      <c r="Z25" s="5" t="s">
        <v>44</v>
      </c>
      <c r="AA25" s="5" t="s">
        <v>45</v>
      </c>
      <c r="AB25" s="5" t="s">
        <v>46</v>
      </c>
      <c r="AC25" s="5" t="s">
        <v>46</v>
      </c>
      <c r="AD25" s="5" t="s">
        <v>46</v>
      </c>
      <c r="AE25" s="5" t="s">
        <v>47</v>
      </c>
      <c r="AF25" s="5" t="s">
        <v>48</v>
      </c>
    </row>
    <row r="26" spans="1:32" ht="30" hidden="1" customHeight="1" x14ac:dyDescent="0.35">
      <c r="A26" s="5" t="s">
        <v>58</v>
      </c>
      <c r="B26" s="5" t="s">
        <v>63</v>
      </c>
      <c r="C26" s="5" t="s">
        <v>96</v>
      </c>
      <c r="D26" s="5" t="s">
        <v>34</v>
      </c>
      <c r="E26" s="6" t="s">
        <v>111</v>
      </c>
      <c r="F26" s="5" t="s">
        <v>35</v>
      </c>
      <c r="G26" s="5" t="s">
        <v>112</v>
      </c>
      <c r="H26" s="5" t="s">
        <v>37</v>
      </c>
      <c r="I26" s="5" t="s">
        <v>120</v>
      </c>
      <c r="J26" s="6">
        <v>5</v>
      </c>
      <c r="K26" s="6">
        <v>737</v>
      </c>
      <c r="L26" s="6">
        <v>1858</v>
      </c>
      <c r="M26" s="6">
        <v>2595</v>
      </c>
      <c r="N26" s="6"/>
      <c r="O26" s="6"/>
      <c r="P26" s="5" t="str">
        <f t="shared" si="0"/>
        <v>Heterogeneous</v>
      </c>
      <c r="Q26" s="6" t="s">
        <v>121</v>
      </c>
      <c r="R26" s="5" t="str">
        <f t="shared" si="1"/>
        <v>insignificant</v>
      </c>
      <c r="S26" s="6" t="s">
        <v>122</v>
      </c>
      <c r="T26" s="6">
        <v>0.36</v>
      </c>
      <c r="U26" s="6"/>
      <c r="V26" s="7" t="s">
        <v>115</v>
      </c>
      <c r="W26" s="7" t="s">
        <v>116</v>
      </c>
      <c r="X26" s="5" t="s">
        <v>43</v>
      </c>
      <c r="Y26" s="5" t="s">
        <v>43</v>
      </c>
      <c r="Z26" s="5" t="s">
        <v>56</v>
      </c>
      <c r="AA26" s="5" t="s">
        <v>45</v>
      </c>
      <c r="AB26" s="5" t="s">
        <v>46</v>
      </c>
      <c r="AC26" s="5" t="s">
        <v>46</v>
      </c>
      <c r="AD26" s="5" t="s">
        <v>46</v>
      </c>
      <c r="AE26" s="5" t="s">
        <v>47</v>
      </c>
      <c r="AF26" s="5" t="s">
        <v>57</v>
      </c>
    </row>
    <row r="27" spans="1:32" ht="30" hidden="1" customHeight="1" x14ac:dyDescent="0.35">
      <c r="A27" s="5" t="s">
        <v>58</v>
      </c>
      <c r="B27" s="5" t="s">
        <v>63</v>
      </c>
      <c r="C27" s="5" t="s">
        <v>123</v>
      </c>
      <c r="D27" s="5" t="s">
        <v>34</v>
      </c>
      <c r="E27" s="6" t="s">
        <v>111</v>
      </c>
      <c r="F27" s="5" t="s">
        <v>35</v>
      </c>
      <c r="G27" s="5" t="s">
        <v>112</v>
      </c>
      <c r="H27" s="5" t="s">
        <v>37</v>
      </c>
      <c r="I27" s="5" t="s">
        <v>124</v>
      </c>
      <c r="J27" s="6">
        <v>2</v>
      </c>
      <c r="K27" s="6">
        <v>92</v>
      </c>
      <c r="L27" s="6">
        <v>135</v>
      </c>
      <c r="M27" s="6">
        <v>227</v>
      </c>
      <c r="N27" s="6"/>
      <c r="O27" s="6"/>
      <c r="P27" s="5" t="str">
        <f t="shared" si="0"/>
        <v>Heterogeneous</v>
      </c>
      <c r="Q27" s="6" t="s">
        <v>86</v>
      </c>
      <c r="R27" s="5" t="str">
        <f t="shared" si="1"/>
        <v>significant</v>
      </c>
      <c r="S27" s="6">
        <v>6.0000000000000001E-3</v>
      </c>
      <c r="T27" s="6">
        <v>0.88</v>
      </c>
      <c r="U27" s="6"/>
      <c r="V27" s="7" t="s">
        <v>115</v>
      </c>
      <c r="W27" s="7" t="s">
        <v>116</v>
      </c>
      <c r="X27" s="5" t="s">
        <v>43</v>
      </c>
      <c r="Y27" s="5" t="s">
        <v>43</v>
      </c>
      <c r="Z27" s="5" t="s">
        <v>56</v>
      </c>
      <c r="AA27" s="5" t="s">
        <v>45</v>
      </c>
      <c r="AB27" s="5" t="s">
        <v>46</v>
      </c>
      <c r="AC27" s="5" t="s">
        <v>46</v>
      </c>
      <c r="AD27" s="5" t="s">
        <v>46</v>
      </c>
      <c r="AE27" s="5" t="s">
        <v>47</v>
      </c>
      <c r="AF27" s="5" t="s">
        <v>66</v>
      </c>
    </row>
    <row r="28" spans="1:32" ht="30" hidden="1" customHeight="1" x14ac:dyDescent="0.35">
      <c r="A28" s="5" t="s">
        <v>58</v>
      </c>
      <c r="B28" s="5" t="s">
        <v>63</v>
      </c>
      <c r="C28" s="5" t="s">
        <v>125</v>
      </c>
      <c r="D28" s="5" t="s">
        <v>34</v>
      </c>
      <c r="E28" s="6" t="s">
        <v>111</v>
      </c>
      <c r="F28" s="5" t="s">
        <v>35</v>
      </c>
      <c r="G28" s="5" t="s">
        <v>112</v>
      </c>
      <c r="H28" s="5" t="s">
        <v>37</v>
      </c>
      <c r="I28" s="5" t="s">
        <v>126</v>
      </c>
      <c r="J28" s="6">
        <v>2</v>
      </c>
      <c r="K28" s="6">
        <v>78</v>
      </c>
      <c r="L28" s="6">
        <v>146</v>
      </c>
      <c r="M28" s="6">
        <v>224</v>
      </c>
      <c r="N28" s="6"/>
      <c r="O28" s="6"/>
      <c r="P28" s="5" t="str">
        <f t="shared" si="0"/>
        <v>Heterogeneous</v>
      </c>
      <c r="Q28" s="6" t="s">
        <v>127</v>
      </c>
      <c r="R28" s="5" t="str">
        <f t="shared" si="1"/>
        <v>insignificant</v>
      </c>
      <c r="S28" s="6">
        <v>0.39</v>
      </c>
      <c r="T28" s="6">
        <v>0.28999999999999998</v>
      </c>
      <c r="U28" s="6"/>
      <c r="V28" s="7" t="s">
        <v>115</v>
      </c>
      <c r="W28" s="7" t="s">
        <v>116</v>
      </c>
      <c r="X28" s="5" t="s">
        <v>43</v>
      </c>
      <c r="Y28" s="5" t="s">
        <v>43</v>
      </c>
      <c r="Z28" s="5" t="s">
        <v>44</v>
      </c>
      <c r="AA28" s="5" t="s">
        <v>45</v>
      </c>
      <c r="AB28" s="5" t="s">
        <v>46</v>
      </c>
      <c r="AC28" s="5" t="s">
        <v>46</v>
      </c>
      <c r="AD28" s="5" t="s">
        <v>46</v>
      </c>
      <c r="AE28" s="5" t="s">
        <v>47</v>
      </c>
      <c r="AF28" s="5" t="s">
        <v>48</v>
      </c>
    </row>
    <row r="29" spans="1:32" ht="30" hidden="1" customHeight="1" x14ac:dyDescent="0.35">
      <c r="A29" s="5" t="s">
        <v>52</v>
      </c>
      <c r="B29" s="5" t="s">
        <v>67</v>
      </c>
      <c r="C29" s="5" t="s">
        <v>68</v>
      </c>
      <c r="D29" s="5" t="s">
        <v>34</v>
      </c>
      <c r="E29" s="6" t="s">
        <v>128</v>
      </c>
      <c r="F29" s="5" t="s">
        <v>35</v>
      </c>
      <c r="G29" s="5" t="s">
        <v>129</v>
      </c>
      <c r="H29" s="5" t="s">
        <v>37</v>
      </c>
      <c r="I29" s="5" t="s">
        <v>130</v>
      </c>
      <c r="J29" s="5">
        <v>4</v>
      </c>
      <c r="K29" s="5">
        <v>61</v>
      </c>
      <c r="L29" s="5">
        <v>152</v>
      </c>
      <c r="M29" s="5">
        <v>213</v>
      </c>
      <c r="N29" s="5"/>
      <c r="O29" s="5"/>
      <c r="P29" s="5" t="str">
        <f t="shared" si="0"/>
        <v/>
      </c>
      <c r="Q29" s="5"/>
      <c r="R29" s="5" t="str">
        <f t="shared" si="1"/>
        <v>insignificant</v>
      </c>
      <c r="S29" s="5">
        <v>0.13787099999999999</v>
      </c>
      <c r="T29" s="5"/>
      <c r="U29" s="5"/>
      <c r="V29" s="7" t="s">
        <v>40</v>
      </c>
      <c r="W29" s="7" t="s">
        <v>41</v>
      </c>
      <c r="X29" s="5" t="s">
        <v>78</v>
      </c>
      <c r="Y29" s="5" t="s">
        <v>43</v>
      </c>
      <c r="Z29" s="5" t="s">
        <v>44</v>
      </c>
      <c r="AA29" s="5" t="s">
        <v>45</v>
      </c>
      <c r="AB29" s="5" t="s">
        <v>76</v>
      </c>
      <c r="AC29" s="5" t="s">
        <v>46</v>
      </c>
      <c r="AD29" s="5" t="s">
        <v>76</v>
      </c>
      <c r="AE29" s="5" t="s">
        <v>75</v>
      </c>
      <c r="AF29" s="5" t="s">
        <v>48</v>
      </c>
    </row>
    <row r="30" spans="1:32" ht="30" customHeight="1" x14ac:dyDescent="0.35">
      <c r="A30" s="5" t="s">
        <v>58</v>
      </c>
      <c r="B30" s="5" t="s">
        <v>33</v>
      </c>
      <c r="C30" s="5"/>
      <c r="D30" s="5" t="s">
        <v>34</v>
      </c>
      <c r="E30" s="6" t="s">
        <v>128</v>
      </c>
      <c r="F30" s="5" t="s">
        <v>35</v>
      </c>
      <c r="G30" s="6" t="s">
        <v>129</v>
      </c>
      <c r="H30" s="5" t="s">
        <v>37</v>
      </c>
      <c r="I30" s="5" t="s">
        <v>131</v>
      </c>
      <c r="J30" s="5">
        <v>6</v>
      </c>
      <c r="K30" s="5">
        <v>338</v>
      </c>
      <c r="L30" s="5">
        <v>511</v>
      </c>
      <c r="M30" s="5">
        <v>849</v>
      </c>
      <c r="N30" s="5"/>
      <c r="O30" s="5"/>
      <c r="P30" s="5" t="str">
        <f t="shared" si="0"/>
        <v/>
      </c>
      <c r="Q30" s="5"/>
      <c r="R30" s="5" t="str">
        <f t="shared" si="1"/>
        <v>insignificant</v>
      </c>
      <c r="S30" s="5">
        <v>0.408665</v>
      </c>
      <c r="T30" s="5"/>
      <c r="U30" s="5"/>
      <c r="V30" s="7" t="s">
        <v>40</v>
      </c>
      <c r="W30" s="7" t="s">
        <v>41</v>
      </c>
      <c r="X30" s="5" t="s">
        <v>78</v>
      </c>
      <c r="Y30" s="5" t="s">
        <v>43</v>
      </c>
      <c r="Z30" s="5" t="s">
        <v>44</v>
      </c>
      <c r="AA30" s="5" t="s">
        <v>45</v>
      </c>
      <c r="AB30" s="5" t="s">
        <v>76</v>
      </c>
      <c r="AC30" s="5" t="s">
        <v>46</v>
      </c>
      <c r="AD30" s="5" t="s">
        <v>76</v>
      </c>
      <c r="AE30" s="5" t="s">
        <v>75</v>
      </c>
      <c r="AF30" s="5" t="s">
        <v>48</v>
      </c>
    </row>
    <row r="31" spans="1:32" ht="30" customHeight="1" x14ac:dyDescent="0.35">
      <c r="A31" s="5" t="s">
        <v>61</v>
      </c>
      <c r="B31" s="5" t="s">
        <v>33</v>
      </c>
      <c r="C31" s="5"/>
      <c r="D31" s="5" t="s">
        <v>34</v>
      </c>
      <c r="E31" s="6" t="s">
        <v>128</v>
      </c>
      <c r="F31" s="5" t="s">
        <v>35</v>
      </c>
      <c r="G31" s="5" t="s">
        <v>129</v>
      </c>
      <c r="H31" s="5" t="s">
        <v>37</v>
      </c>
      <c r="I31" s="5" t="s">
        <v>132</v>
      </c>
      <c r="J31" s="5">
        <v>9</v>
      </c>
      <c r="K31" s="5">
        <v>824</v>
      </c>
      <c r="L31" s="5">
        <v>4261</v>
      </c>
      <c r="M31" s="5">
        <v>824</v>
      </c>
      <c r="N31" s="5"/>
      <c r="O31" s="5"/>
      <c r="P31" s="5" t="str">
        <f t="shared" si="0"/>
        <v/>
      </c>
      <c r="Q31" s="5"/>
      <c r="R31" s="5" t="str">
        <f t="shared" si="1"/>
        <v>insignificant</v>
      </c>
      <c r="S31" s="5">
        <v>0.36083399999999999</v>
      </c>
      <c r="T31" s="5"/>
      <c r="U31" s="5"/>
      <c r="V31" s="7" t="s">
        <v>40</v>
      </c>
      <c r="W31" s="7" t="s">
        <v>41</v>
      </c>
      <c r="X31" s="5" t="s">
        <v>78</v>
      </c>
      <c r="Y31" s="5" t="s">
        <v>43</v>
      </c>
      <c r="Z31" s="5" t="s">
        <v>44</v>
      </c>
      <c r="AA31" s="5" t="s">
        <v>45</v>
      </c>
      <c r="AB31" s="5" t="s">
        <v>76</v>
      </c>
      <c r="AC31" s="5" t="s">
        <v>46</v>
      </c>
      <c r="AD31" s="5" t="s">
        <v>76</v>
      </c>
      <c r="AE31" s="5" t="s">
        <v>75</v>
      </c>
      <c r="AF31" s="5" t="s">
        <v>48</v>
      </c>
    </row>
    <row r="32" spans="1:32" ht="30" hidden="1" customHeight="1" x14ac:dyDescent="0.35">
      <c r="A32" s="5" t="s">
        <v>58</v>
      </c>
      <c r="B32" s="5" t="s">
        <v>67</v>
      </c>
      <c r="C32" s="5" t="s">
        <v>68</v>
      </c>
      <c r="D32" s="5" t="s">
        <v>34</v>
      </c>
      <c r="E32" s="6" t="s">
        <v>128</v>
      </c>
      <c r="F32" s="5" t="s">
        <v>35</v>
      </c>
      <c r="G32" s="5" t="s">
        <v>129</v>
      </c>
      <c r="H32" s="5" t="s">
        <v>37</v>
      </c>
      <c r="I32" s="5" t="s">
        <v>131</v>
      </c>
      <c r="J32" s="5">
        <v>6</v>
      </c>
      <c r="K32" s="5">
        <v>338</v>
      </c>
      <c r="L32" s="5">
        <v>511</v>
      </c>
      <c r="M32" s="5">
        <v>849</v>
      </c>
      <c r="N32" s="5"/>
      <c r="O32" s="5"/>
      <c r="P32" s="5" t="str">
        <f t="shared" si="0"/>
        <v/>
      </c>
      <c r="Q32" s="5"/>
      <c r="R32" s="5" t="str">
        <f t="shared" si="1"/>
        <v>insignificant</v>
      </c>
      <c r="S32" s="5">
        <v>0.408665</v>
      </c>
      <c r="T32" s="5"/>
      <c r="U32" s="5"/>
      <c r="V32" s="7" t="s">
        <v>40</v>
      </c>
      <c r="W32" s="7" t="s">
        <v>41</v>
      </c>
      <c r="X32" s="5" t="s">
        <v>78</v>
      </c>
      <c r="Y32" s="5" t="s">
        <v>43</v>
      </c>
      <c r="Z32" s="5" t="s">
        <v>44</v>
      </c>
      <c r="AA32" s="5" t="s">
        <v>45</v>
      </c>
      <c r="AB32" s="5" t="s">
        <v>76</v>
      </c>
      <c r="AC32" s="5" t="s">
        <v>46</v>
      </c>
      <c r="AD32" s="5" t="s">
        <v>76</v>
      </c>
      <c r="AE32" s="5" t="s">
        <v>47</v>
      </c>
      <c r="AF32" s="5" t="s">
        <v>48</v>
      </c>
    </row>
    <row r="33" spans="1:32" ht="30" customHeight="1" x14ac:dyDescent="0.35">
      <c r="A33" s="5" t="s">
        <v>52</v>
      </c>
      <c r="B33" s="5" t="s">
        <v>33</v>
      </c>
      <c r="C33" s="5"/>
      <c r="D33" s="5" t="s">
        <v>34</v>
      </c>
      <c r="E33" s="6" t="s">
        <v>128</v>
      </c>
      <c r="F33" s="5" t="s">
        <v>35</v>
      </c>
      <c r="G33" s="5" t="s">
        <v>129</v>
      </c>
      <c r="H33" s="5" t="s">
        <v>37</v>
      </c>
      <c r="I33" s="5" t="s">
        <v>133</v>
      </c>
      <c r="J33" s="5">
        <v>7</v>
      </c>
      <c r="K33" s="5">
        <v>870</v>
      </c>
      <c r="L33" s="5">
        <v>2331</v>
      </c>
      <c r="M33" s="5">
        <v>3201</v>
      </c>
      <c r="N33" s="5"/>
      <c r="O33" s="5"/>
      <c r="P33" s="5" t="str">
        <f t="shared" si="0"/>
        <v/>
      </c>
      <c r="Q33" s="5"/>
      <c r="R33" s="5" t="str">
        <f t="shared" si="1"/>
        <v>significant</v>
      </c>
      <c r="S33" s="5">
        <v>1.1618E-2</v>
      </c>
      <c r="T33" s="5"/>
      <c r="U33" s="5"/>
      <c r="V33" s="7" t="s">
        <v>40</v>
      </c>
      <c r="W33" s="7" t="s">
        <v>41</v>
      </c>
      <c r="X33" s="5" t="s">
        <v>78</v>
      </c>
      <c r="Y33" s="5" t="s">
        <v>43</v>
      </c>
      <c r="Z33" s="5" t="s">
        <v>56</v>
      </c>
      <c r="AA33" s="5" t="s">
        <v>45</v>
      </c>
      <c r="AB33" s="5" t="s">
        <v>76</v>
      </c>
      <c r="AC33" s="5" t="s">
        <v>46</v>
      </c>
      <c r="AD33" s="5" t="s">
        <v>76</v>
      </c>
      <c r="AE33" s="5" t="s">
        <v>115</v>
      </c>
      <c r="AF33" s="5" t="s">
        <v>66</v>
      </c>
    </row>
    <row r="34" spans="1:32" ht="30" hidden="1" customHeight="1" x14ac:dyDescent="0.35">
      <c r="A34" s="5" t="s">
        <v>61</v>
      </c>
      <c r="B34" s="5" t="s">
        <v>67</v>
      </c>
      <c r="C34" s="5" t="s">
        <v>68</v>
      </c>
      <c r="D34" s="5" t="s">
        <v>34</v>
      </c>
      <c r="E34" s="6" t="s">
        <v>128</v>
      </c>
      <c r="F34" s="5" t="s">
        <v>35</v>
      </c>
      <c r="G34" s="5" t="s">
        <v>129</v>
      </c>
      <c r="H34" s="5" t="s">
        <v>37</v>
      </c>
      <c r="I34" s="5" t="s">
        <v>134</v>
      </c>
      <c r="J34" s="5">
        <v>4</v>
      </c>
      <c r="K34" s="5"/>
      <c r="L34" s="5">
        <v>355</v>
      </c>
      <c r="M34" s="5">
        <v>83</v>
      </c>
      <c r="N34" s="5"/>
      <c r="O34" s="5"/>
      <c r="P34" s="5" t="str">
        <f t="shared" si="0"/>
        <v/>
      </c>
      <c r="Q34" s="5"/>
      <c r="R34" s="5" t="str">
        <f t="shared" si="1"/>
        <v>insignificant</v>
      </c>
      <c r="S34" s="5">
        <v>0.50436099999999995</v>
      </c>
      <c r="T34" s="5"/>
      <c r="U34" s="5"/>
      <c r="V34" s="7" t="s">
        <v>40</v>
      </c>
      <c r="W34" s="7" t="s">
        <v>41</v>
      </c>
      <c r="X34" s="5" t="s">
        <v>78</v>
      </c>
      <c r="Y34" s="5" t="s">
        <v>43</v>
      </c>
      <c r="Z34" s="5" t="s">
        <v>44</v>
      </c>
      <c r="AA34" s="5" t="s">
        <v>45</v>
      </c>
      <c r="AB34" s="5" t="s">
        <v>76</v>
      </c>
      <c r="AC34" s="5" t="s">
        <v>46</v>
      </c>
      <c r="AD34" s="5" t="s">
        <v>76</v>
      </c>
      <c r="AE34" s="5" t="s">
        <v>75</v>
      </c>
      <c r="AF34" s="5" t="s">
        <v>48</v>
      </c>
    </row>
    <row r="35" spans="1:32" ht="30" hidden="1" customHeight="1" x14ac:dyDescent="0.35">
      <c r="A35" s="5" t="s">
        <v>58</v>
      </c>
      <c r="B35" s="5" t="s">
        <v>63</v>
      </c>
      <c r="C35" s="5" t="s">
        <v>96</v>
      </c>
      <c r="D35" s="5" t="s">
        <v>34</v>
      </c>
      <c r="E35" s="6" t="s">
        <v>128</v>
      </c>
      <c r="F35" s="5" t="s">
        <v>35</v>
      </c>
      <c r="G35" s="5" t="s">
        <v>129</v>
      </c>
      <c r="H35" s="5" t="s">
        <v>37</v>
      </c>
      <c r="I35" s="5" t="s">
        <v>135</v>
      </c>
      <c r="J35" s="6">
        <v>6</v>
      </c>
      <c r="K35" s="5"/>
      <c r="L35" s="5" t="s">
        <v>136</v>
      </c>
      <c r="M35" s="5" t="s">
        <v>136</v>
      </c>
      <c r="N35" s="5"/>
      <c r="O35" s="5"/>
      <c r="P35" s="5" t="str">
        <f t="shared" si="0"/>
        <v/>
      </c>
      <c r="Q35" s="5"/>
      <c r="R35" s="5" t="str">
        <f t="shared" si="1"/>
        <v>insignificant</v>
      </c>
      <c r="S35" s="5">
        <v>0.75631800000000005</v>
      </c>
      <c r="T35" s="5"/>
      <c r="U35" s="5"/>
      <c r="V35" s="7" t="s">
        <v>40</v>
      </c>
      <c r="W35" s="7" t="s">
        <v>41</v>
      </c>
      <c r="X35" s="5" t="s">
        <v>78</v>
      </c>
      <c r="Y35" s="5" t="s">
        <v>43</v>
      </c>
      <c r="Z35" s="5" t="s">
        <v>44</v>
      </c>
      <c r="AA35" s="5" t="s">
        <v>45</v>
      </c>
      <c r="AB35" s="5" t="s">
        <v>76</v>
      </c>
      <c r="AC35" s="5" t="s">
        <v>46</v>
      </c>
      <c r="AD35" s="5" t="s">
        <v>76</v>
      </c>
      <c r="AE35" s="5" t="s">
        <v>75</v>
      </c>
      <c r="AF35" s="5" t="s">
        <v>48</v>
      </c>
    </row>
    <row r="36" spans="1:32" ht="30" hidden="1" customHeight="1" x14ac:dyDescent="0.35">
      <c r="A36" s="5" t="s">
        <v>52</v>
      </c>
      <c r="B36" s="5" t="s">
        <v>63</v>
      </c>
      <c r="C36" s="5" t="s">
        <v>64</v>
      </c>
      <c r="D36" s="5" t="s">
        <v>34</v>
      </c>
      <c r="E36" s="6" t="s">
        <v>128</v>
      </c>
      <c r="F36" s="5" t="s">
        <v>35</v>
      </c>
      <c r="G36" s="5" t="s">
        <v>129</v>
      </c>
      <c r="H36" s="5" t="s">
        <v>37</v>
      </c>
      <c r="I36" s="5" t="s">
        <v>137</v>
      </c>
      <c r="J36" s="5">
        <v>4</v>
      </c>
      <c r="K36" s="5"/>
      <c r="L36" s="5">
        <v>46</v>
      </c>
      <c r="M36" s="5">
        <v>20</v>
      </c>
      <c r="N36" s="5"/>
      <c r="O36" s="5"/>
      <c r="P36" s="5" t="str">
        <f t="shared" si="0"/>
        <v/>
      </c>
      <c r="Q36" s="5"/>
      <c r="R36" s="5" t="str">
        <f t="shared" si="1"/>
        <v>insignificant</v>
      </c>
      <c r="S36" s="5">
        <v>6.8409999999999999E-2</v>
      </c>
      <c r="T36" s="5"/>
      <c r="U36" s="5"/>
      <c r="V36" s="7" t="s">
        <v>40</v>
      </c>
      <c r="W36" s="7" t="s">
        <v>41</v>
      </c>
      <c r="X36" s="5" t="s">
        <v>78</v>
      </c>
      <c r="Y36" s="5" t="s">
        <v>43</v>
      </c>
      <c r="Z36" s="5" t="s">
        <v>44</v>
      </c>
      <c r="AA36" s="5" t="s">
        <v>45</v>
      </c>
      <c r="AB36" s="5" t="s">
        <v>76</v>
      </c>
      <c r="AC36" s="5" t="s">
        <v>46</v>
      </c>
      <c r="AD36" s="5" t="s">
        <v>76</v>
      </c>
      <c r="AE36" s="5" t="s">
        <v>75</v>
      </c>
      <c r="AF36" s="5" t="s">
        <v>48</v>
      </c>
    </row>
    <row r="37" spans="1:32" ht="30" hidden="1" customHeight="1" x14ac:dyDescent="0.35">
      <c r="A37" s="5" t="s">
        <v>52</v>
      </c>
      <c r="B37" s="5" t="s">
        <v>63</v>
      </c>
      <c r="C37" s="5" t="s">
        <v>96</v>
      </c>
      <c r="D37" s="5" t="s">
        <v>34</v>
      </c>
      <c r="E37" s="6" t="s">
        <v>128</v>
      </c>
      <c r="F37" s="5" t="s">
        <v>35</v>
      </c>
      <c r="G37" s="5" t="s">
        <v>129</v>
      </c>
      <c r="H37" s="5" t="s">
        <v>37</v>
      </c>
      <c r="I37" s="5" t="s">
        <v>138</v>
      </c>
      <c r="J37" s="5">
        <v>4</v>
      </c>
      <c r="K37" s="5"/>
      <c r="L37" s="5">
        <v>52</v>
      </c>
      <c r="M37" s="5">
        <v>15</v>
      </c>
      <c r="N37" s="5"/>
      <c r="O37" s="5"/>
      <c r="P37" s="5" t="str">
        <f t="shared" si="0"/>
        <v/>
      </c>
      <c r="Q37" s="5"/>
      <c r="R37" s="5" t="str">
        <f t="shared" si="1"/>
        <v>insignificant</v>
      </c>
      <c r="S37" s="5">
        <v>1</v>
      </c>
      <c r="T37" s="5"/>
      <c r="U37" s="5"/>
      <c r="V37" s="7" t="s">
        <v>40</v>
      </c>
      <c r="W37" s="7" t="s">
        <v>41</v>
      </c>
      <c r="X37" s="5" t="s">
        <v>78</v>
      </c>
      <c r="Y37" s="5" t="s">
        <v>43</v>
      </c>
      <c r="Z37" s="5" t="s">
        <v>44</v>
      </c>
      <c r="AA37" s="5" t="s">
        <v>45</v>
      </c>
      <c r="AB37" s="5" t="s">
        <v>76</v>
      </c>
      <c r="AC37" s="5" t="s">
        <v>46</v>
      </c>
      <c r="AD37" s="5" t="s">
        <v>76</v>
      </c>
      <c r="AE37" s="5" t="s">
        <v>75</v>
      </c>
      <c r="AF37" s="5" t="s">
        <v>48</v>
      </c>
    </row>
    <row r="38" spans="1:32" ht="30" hidden="1" customHeight="1" x14ac:dyDescent="0.35">
      <c r="A38" s="5" t="s">
        <v>61</v>
      </c>
      <c r="B38" s="5" t="s">
        <v>63</v>
      </c>
      <c r="C38" s="5" t="s">
        <v>96</v>
      </c>
      <c r="D38" s="5" t="s">
        <v>34</v>
      </c>
      <c r="E38" s="6" t="s">
        <v>128</v>
      </c>
      <c r="F38" s="5" t="s">
        <v>35</v>
      </c>
      <c r="G38" s="5" t="s">
        <v>129</v>
      </c>
      <c r="H38" s="5" t="s">
        <v>37</v>
      </c>
      <c r="I38" s="5" t="s">
        <v>139</v>
      </c>
      <c r="J38" s="5">
        <v>4</v>
      </c>
      <c r="K38" s="6">
        <v>30</v>
      </c>
      <c r="L38" s="6">
        <v>151</v>
      </c>
      <c r="M38" s="5">
        <v>181</v>
      </c>
      <c r="N38" s="5"/>
      <c r="O38" s="5"/>
      <c r="P38" s="5" t="str">
        <f t="shared" si="0"/>
        <v/>
      </c>
      <c r="Q38" s="5"/>
      <c r="R38" s="5" t="str">
        <f t="shared" si="1"/>
        <v>insignificant</v>
      </c>
      <c r="S38" s="5">
        <v>0.53254800000000002</v>
      </c>
      <c r="T38" s="5"/>
      <c r="U38" s="5"/>
      <c r="V38" s="7" t="s">
        <v>40</v>
      </c>
      <c r="W38" s="7" t="s">
        <v>41</v>
      </c>
      <c r="X38" s="5" t="s">
        <v>78</v>
      </c>
      <c r="Y38" s="5" t="s">
        <v>43</v>
      </c>
      <c r="Z38" s="5" t="s">
        <v>44</v>
      </c>
      <c r="AA38" s="5" t="s">
        <v>45</v>
      </c>
      <c r="AB38" s="5" t="s">
        <v>76</v>
      </c>
      <c r="AC38" s="5" t="s">
        <v>46</v>
      </c>
      <c r="AD38" s="5" t="s">
        <v>76</v>
      </c>
      <c r="AE38" s="5" t="s">
        <v>75</v>
      </c>
      <c r="AF38" s="5" t="s">
        <v>48</v>
      </c>
    </row>
    <row r="39" spans="1:32" ht="30" hidden="1" customHeight="1" x14ac:dyDescent="0.35">
      <c r="A39" s="5" t="s">
        <v>58</v>
      </c>
      <c r="B39" s="5" t="s">
        <v>63</v>
      </c>
      <c r="C39" s="5" t="s">
        <v>64</v>
      </c>
      <c r="D39" s="5" t="s">
        <v>34</v>
      </c>
      <c r="E39" s="6" t="s">
        <v>128</v>
      </c>
      <c r="F39" s="5" t="s">
        <v>35</v>
      </c>
      <c r="G39" s="5" t="s">
        <v>129</v>
      </c>
      <c r="H39" s="5" t="s">
        <v>37</v>
      </c>
      <c r="I39" s="5" t="s">
        <v>140</v>
      </c>
      <c r="J39" s="6">
        <v>4</v>
      </c>
      <c r="K39" s="5"/>
      <c r="L39" s="5" t="s">
        <v>136</v>
      </c>
      <c r="M39" s="5" t="s">
        <v>136</v>
      </c>
      <c r="N39" s="5"/>
      <c r="O39" s="5"/>
      <c r="P39" s="5" t="str">
        <f t="shared" si="0"/>
        <v/>
      </c>
      <c r="Q39" s="5"/>
      <c r="R39" s="5" t="str">
        <f t="shared" si="1"/>
        <v>significant</v>
      </c>
      <c r="S39" s="5">
        <v>9.0810000000000005E-3</v>
      </c>
      <c r="T39" s="5"/>
      <c r="U39" s="5"/>
      <c r="V39" s="7" t="s">
        <v>40</v>
      </c>
      <c r="W39" s="7" t="s">
        <v>41</v>
      </c>
      <c r="X39" s="5" t="s">
        <v>78</v>
      </c>
      <c r="Y39" s="5" t="s">
        <v>43</v>
      </c>
      <c r="Z39" s="5" t="s">
        <v>56</v>
      </c>
      <c r="AA39" s="5" t="s">
        <v>45</v>
      </c>
      <c r="AB39" s="5" t="s">
        <v>76</v>
      </c>
      <c r="AC39" s="5" t="s">
        <v>76</v>
      </c>
      <c r="AD39" s="5" t="s">
        <v>76</v>
      </c>
      <c r="AE39" s="5" t="s">
        <v>47</v>
      </c>
      <c r="AF39" s="5" t="s">
        <v>66</v>
      </c>
    </row>
    <row r="40" spans="1:32" ht="30" hidden="1" customHeight="1" x14ac:dyDescent="0.35">
      <c r="A40" s="5" t="s">
        <v>61</v>
      </c>
      <c r="B40" s="5" t="s">
        <v>63</v>
      </c>
      <c r="C40" s="5" t="s">
        <v>64</v>
      </c>
      <c r="D40" s="5" t="s">
        <v>34</v>
      </c>
      <c r="E40" s="6" t="s">
        <v>128</v>
      </c>
      <c r="F40" s="5" t="s">
        <v>35</v>
      </c>
      <c r="G40" s="5" t="s">
        <v>129</v>
      </c>
      <c r="H40" s="5" t="s">
        <v>37</v>
      </c>
      <c r="I40" s="5" t="s">
        <v>141</v>
      </c>
      <c r="J40" s="5">
        <v>4</v>
      </c>
      <c r="K40" s="6">
        <v>53</v>
      </c>
      <c r="L40" s="6">
        <v>167</v>
      </c>
      <c r="M40" s="5">
        <v>220</v>
      </c>
      <c r="N40" s="5"/>
      <c r="O40" s="5"/>
      <c r="P40" s="5" t="str">
        <f t="shared" si="0"/>
        <v/>
      </c>
      <c r="Q40" s="5"/>
      <c r="R40" s="5" t="str">
        <f t="shared" si="1"/>
        <v>significant</v>
      </c>
      <c r="S40" s="5">
        <v>2.9069000000000001E-2</v>
      </c>
      <c r="T40" s="5"/>
      <c r="U40" s="5"/>
      <c r="V40" s="7" t="s">
        <v>40</v>
      </c>
      <c r="W40" s="7" t="s">
        <v>41</v>
      </c>
      <c r="X40" s="5" t="s">
        <v>78</v>
      </c>
      <c r="Y40" s="5" t="s">
        <v>43</v>
      </c>
      <c r="Z40" s="5" t="s">
        <v>56</v>
      </c>
      <c r="AA40" s="5" t="s">
        <v>45</v>
      </c>
      <c r="AB40" s="5" t="s">
        <v>76</v>
      </c>
      <c r="AC40" s="5" t="s">
        <v>76</v>
      </c>
      <c r="AD40" s="5" t="s">
        <v>76</v>
      </c>
      <c r="AE40" s="5" t="s">
        <v>41</v>
      </c>
      <c r="AF40" s="5" t="s">
        <v>48</v>
      </c>
    </row>
    <row r="41" spans="1:32" ht="30" hidden="1" customHeight="1" x14ac:dyDescent="0.35">
      <c r="A41" s="5" t="s">
        <v>52</v>
      </c>
      <c r="B41" s="5" t="s">
        <v>67</v>
      </c>
      <c r="C41" s="5" t="s">
        <v>68</v>
      </c>
      <c r="D41" s="5" t="s">
        <v>34</v>
      </c>
      <c r="E41" s="6"/>
      <c r="F41" s="5" t="s">
        <v>35</v>
      </c>
      <c r="G41" s="5" t="s">
        <v>142</v>
      </c>
      <c r="H41" s="5" t="s">
        <v>37</v>
      </c>
      <c r="I41" s="5" t="s">
        <v>143</v>
      </c>
      <c r="J41" s="5">
        <v>2</v>
      </c>
      <c r="K41" s="5">
        <v>148</v>
      </c>
      <c r="L41" s="5">
        <v>211</v>
      </c>
      <c r="M41" s="5">
        <f>148+211</f>
        <v>359</v>
      </c>
      <c r="N41" s="5"/>
      <c r="O41" s="5"/>
      <c r="P41" s="5" t="str">
        <f t="shared" si="0"/>
        <v/>
      </c>
      <c r="Q41" s="5"/>
      <c r="R41" s="5" t="str">
        <f t="shared" si="1"/>
        <v>insignificant</v>
      </c>
      <c r="S41" s="5">
        <v>0.752023</v>
      </c>
      <c r="T41" s="5"/>
      <c r="U41" s="5"/>
      <c r="V41" s="7" t="s">
        <v>40</v>
      </c>
      <c r="W41" s="7" t="s">
        <v>41</v>
      </c>
      <c r="X41" s="5" t="s">
        <v>78</v>
      </c>
      <c r="Y41" s="5" t="s">
        <v>43</v>
      </c>
      <c r="Z41" s="5" t="s">
        <v>44</v>
      </c>
      <c r="AA41" s="5" t="s">
        <v>45</v>
      </c>
      <c r="AB41" s="5" t="s">
        <v>76</v>
      </c>
      <c r="AC41" s="5" t="s">
        <v>46</v>
      </c>
      <c r="AD41" s="5" t="s">
        <v>76</v>
      </c>
      <c r="AE41" s="5" t="s">
        <v>115</v>
      </c>
      <c r="AF41" s="5" t="s">
        <v>48</v>
      </c>
    </row>
    <row r="42" spans="1:32" ht="30" hidden="1" customHeight="1" x14ac:dyDescent="0.35">
      <c r="A42" s="5" t="s">
        <v>58</v>
      </c>
      <c r="B42" s="5" t="s">
        <v>67</v>
      </c>
      <c r="C42" s="5" t="s">
        <v>68</v>
      </c>
      <c r="D42" s="5" t="s">
        <v>34</v>
      </c>
      <c r="E42" s="6"/>
      <c r="F42" s="5" t="s">
        <v>35</v>
      </c>
      <c r="G42" s="5" t="s">
        <v>142</v>
      </c>
      <c r="H42" s="5" t="s">
        <v>37</v>
      </c>
      <c r="I42" s="5" t="s">
        <v>144</v>
      </c>
      <c r="J42" s="5">
        <v>2</v>
      </c>
      <c r="K42" s="5">
        <v>340</v>
      </c>
      <c r="L42" s="5">
        <v>331</v>
      </c>
      <c r="M42" s="5">
        <f>340+331</f>
        <v>671</v>
      </c>
      <c r="N42" s="5"/>
      <c r="O42" s="5"/>
      <c r="P42" s="5" t="str">
        <f t="shared" si="0"/>
        <v/>
      </c>
      <c r="Q42" s="5"/>
      <c r="R42" s="5" t="str">
        <f t="shared" si="1"/>
        <v>insignificant</v>
      </c>
      <c r="S42" s="5">
        <v>0.34864400000000001</v>
      </c>
      <c r="T42" s="5"/>
      <c r="U42" s="5"/>
      <c r="V42" s="7" t="s">
        <v>40</v>
      </c>
      <c r="W42" s="7" t="s">
        <v>41</v>
      </c>
      <c r="X42" s="5" t="s">
        <v>78</v>
      </c>
      <c r="Y42" s="5" t="s">
        <v>43</v>
      </c>
      <c r="Z42" s="5" t="s">
        <v>44</v>
      </c>
      <c r="AA42" s="5" t="s">
        <v>45</v>
      </c>
      <c r="AB42" s="5" t="s">
        <v>76</v>
      </c>
      <c r="AC42" s="5" t="s">
        <v>46</v>
      </c>
      <c r="AD42" s="5" t="s">
        <v>76</v>
      </c>
      <c r="AE42" s="5" t="s">
        <v>75</v>
      </c>
      <c r="AF42" s="5" t="s">
        <v>48</v>
      </c>
    </row>
    <row r="43" spans="1:32" ht="30" hidden="1" customHeight="1" x14ac:dyDescent="0.35">
      <c r="A43" s="5" t="s">
        <v>61</v>
      </c>
      <c r="B43" s="5" t="s">
        <v>67</v>
      </c>
      <c r="C43" s="5" t="s">
        <v>68</v>
      </c>
      <c r="D43" s="5" t="s">
        <v>34</v>
      </c>
      <c r="E43" s="6"/>
      <c r="F43" s="5" t="s">
        <v>35</v>
      </c>
      <c r="G43" s="5" t="s">
        <v>142</v>
      </c>
      <c r="H43" s="5" t="s">
        <v>37</v>
      </c>
      <c r="I43" s="5" t="s">
        <v>145</v>
      </c>
      <c r="J43" s="5">
        <v>2</v>
      </c>
      <c r="K43" s="5">
        <v>88</v>
      </c>
      <c r="L43" s="5">
        <v>99</v>
      </c>
      <c r="M43" s="5">
        <f>88+99</f>
        <v>187</v>
      </c>
      <c r="N43" s="5"/>
      <c r="O43" s="5"/>
      <c r="P43" s="5" t="str">
        <f t="shared" si="0"/>
        <v/>
      </c>
      <c r="Q43" s="5"/>
      <c r="R43" s="5" t="str">
        <f t="shared" si="1"/>
        <v>insignificant</v>
      </c>
      <c r="S43" s="5">
        <v>0.574299</v>
      </c>
      <c r="T43" s="5"/>
      <c r="U43" s="5"/>
      <c r="V43" s="7" t="s">
        <v>40</v>
      </c>
      <c r="W43" s="7" t="s">
        <v>41</v>
      </c>
      <c r="X43" s="5" t="s">
        <v>78</v>
      </c>
      <c r="Y43" s="5" t="s">
        <v>43</v>
      </c>
      <c r="Z43" s="5" t="s">
        <v>44</v>
      </c>
      <c r="AA43" s="5" t="s">
        <v>45</v>
      </c>
      <c r="AB43" s="5" t="s">
        <v>76</v>
      </c>
      <c r="AC43" s="5" t="s">
        <v>46</v>
      </c>
      <c r="AD43" s="5" t="s">
        <v>76</v>
      </c>
      <c r="AE43" s="5" t="s">
        <v>75</v>
      </c>
      <c r="AF43" s="5" t="s">
        <v>48</v>
      </c>
    </row>
    <row r="44" spans="1:32" ht="30" hidden="1" customHeight="1" x14ac:dyDescent="0.35">
      <c r="A44" s="5" t="s">
        <v>58</v>
      </c>
      <c r="B44" s="5" t="s">
        <v>63</v>
      </c>
      <c r="C44" s="5" t="s">
        <v>64</v>
      </c>
      <c r="D44" s="5" t="s">
        <v>34</v>
      </c>
      <c r="E44" s="6"/>
      <c r="F44" s="5" t="s">
        <v>35</v>
      </c>
      <c r="G44" s="5" t="s">
        <v>142</v>
      </c>
      <c r="H44" s="5" t="s">
        <v>37</v>
      </c>
      <c r="I44" s="5" t="s">
        <v>146</v>
      </c>
      <c r="J44" s="5">
        <v>2</v>
      </c>
      <c r="K44" s="6">
        <v>165</v>
      </c>
      <c r="L44" s="6">
        <v>127</v>
      </c>
      <c r="M44" s="6">
        <f>165+127</f>
        <v>292</v>
      </c>
      <c r="N44" s="6"/>
      <c r="O44" s="6"/>
      <c r="P44" s="5" t="str">
        <f t="shared" si="0"/>
        <v/>
      </c>
      <c r="Q44" s="5"/>
      <c r="R44" s="5" t="str">
        <f t="shared" si="1"/>
        <v>insignificant</v>
      </c>
      <c r="S44" s="5">
        <v>0.15235799999999999</v>
      </c>
      <c r="T44" s="5"/>
      <c r="U44" s="5"/>
      <c r="V44" s="7" t="s">
        <v>40</v>
      </c>
      <c r="W44" s="7" t="s">
        <v>41</v>
      </c>
      <c r="X44" s="5" t="s">
        <v>78</v>
      </c>
      <c r="Y44" s="5" t="s">
        <v>43</v>
      </c>
      <c r="Z44" s="5" t="s">
        <v>44</v>
      </c>
      <c r="AA44" s="5" t="s">
        <v>45</v>
      </c>
      <c r="AB44" s="5" t="s">
        <v>76</v>
      </c>
      <c r="AC44" s="5" t="s">
        <v>46</v>
      </c>
      <c r="AD44" s="5" t="s">
        <v>76</v>
      </c>
      <c r="AE44" s="5" t="s">
        <v>75</v>
      </c>
      <c r="AF44" s="5" t="s">
        <v>48</v>
      </c>
    </row>
    <row r="45" spans="1:32" ht="30" hidden="1" customHeight="1" x14ac:dyDescent="0.35">
      <c r="A45" s="5" t="s">
        <v>58</v>
      </c>
      <c r="B45" s="5" t="s">
        <v>63</v>
      </c>
      <c r="C45" s="5" t="s">
        <v>96</v>
      </c>
      <c r="D45" s="5" t="s">
        <v>34</v>
      </c>
      <c r="E45" s="6"/>
      <c r="F45" s="5" t="s">
        <v>35</v>
      </c>
      <c r="G45" s="5" t="s">
        <v>142</v>
      </c>
      <c r="H45" s="5" t="s">
        <v>37</v>
      </c>
      <c r="I45" s="5" t="s">
        <v>147</v>
      </c>
      <c r="J45" s="5">
        <v>2</v>
      </c>
      <c r="K45" s="6">
        <v>78</v>
      </c>
      <c r="L45" s="6">
        <v>85</v>
      </c>
      <c r="M45" s="6">
        <f>78+85</f>
        <v>163</v>
      </c>
      <c r="N45" s="6"/>
      <c r="O45" s="6"/>
      <c r="P45" s="5" t="str">
        <f t="shared" si="0"/>
        <v/>
      </c>
      <c r="Q45" s="5"/>
      <c r="R45" s="5" t="str">
        <f t="shared" si="1"/>
        <v>insignificant</v>
      </c>
      <c r="S45" s="5">
        <v>0.71626199999999995</v>
      </c>
      <c r="T45" s="5"/>
      <c r="U45" s="5"/>
      <c r="V45" s="7" t="s">
        <v>40</v>
      </c>
      <c r="W45" s="7" t="s">
        <v>41</v>
      </c>
      <c r="X45" s="5" t="s">
        <v>78</v>
      </c>
      <c r="Y45" s="5" t="s">
        <v>43</v>
      </c>
      <c r="Z45" s="5" t="s">
        <v>44</v>
      </c>
      <c r="AA45" s="5" t="s">
        <v>45</v>
      </c>
      <c r="AB45" s="5" t="s">
        <v>76</v>
      </c>
      <c r="AC45" s="5" t="s">
        <v>46</v>
      </c>
      <c r="AD45" s="5" t="s">
        <v>76</v>
      </c>
      <c r="AE45" s="5" t="s">
        <v>75</v>
      </c>
      <c r="AF45" s="5" t="s">
        <v>48</v>
      </c>
    </row>
    <row r="46" spans="1:32" ht="30" hidden="1" customHeight="1" x14ac:dyDescent="0.35">
      <c r="A46" s="5" t="s">
        <v>58</v>
      </c>
      <c r="B46" s="5" t="s">
        <v>63</v>
      </c>
      <c r="C46" s="5" t="s">
        <v>96</v>
      </c>
      <c r="D46" s="5" t="s">
        <v>34</v>
      </c>
      <c r="E46" s="6"/>
      <c r="F46" s="5" t="s">
        <v>35</v>
      </c>
      <c r="G46" s="5" t="s">
        <v>142</v>
      </c>
      <c r="H46" s="5" t="s">
        <v>37</v>
      </c>
      <c r="I46" s="5" t="s">
        <v>148</v>
      </c>
      <c r="J46" s="5">
        <v>2</v>
      </c>
      <c r="K46" s="6">
        <v>51</v>
      </c>
      <c r="L46" s="6">
        <v>43</v>
      </c>
      <c r="M46" s="6">
        <f>51+43</f>
        <v>94</v>
      </c>
      <c r="N46" s="6"/>
      <c r="O46" s="6"/>
      <c r="P46" s="5" t="str">
        <f t="shared" si="0"/>
        <v/>
      </c>
      <c r="Q46" s="5"/>
      <c r="R46" s="5" t="str">
        <f t="shared" si="1"/>
        <v>insignificant</v>
      </c>
      <c r="S46" s="5">
        <v>0.117752</v>
      </c>
      <c r="T46" s="5"/>
      <c r="U46" s="5"/>
      <c r="V46" s="7" t="s">
        <v>40</v>
      </c>
      <c r="W46" s="7" t="s">
        <v>41</v>
      </c>
      <c r="X46" s="5" t="s">
        <v>78</v>
      </c>
      <c r="Y46" s="5" t="s">
        <v>43</v>
      </c>
      <c r="Z46" s="5" t="s">
        <v>44</v>
      </c>
      <c r="AA46" s="5" t="s">
        <v>45</v>
      </c>
      <c r="AB46" s="5" t="s">
        <v>76</v>
      </c>
      <c r="AC46" s="5" t="s">
        <v>46</v>
      </c>
      <c r="AD46" s="5" t="s">
        <v>76</v>
      </c>
      <c r="AE46" s="5" t="s">
        <v>75</v>
      </c>
      <c r="AF46" s="5" t="s">
        <v>48</v>
      </c>
    </row>
    <row r="47" spans="1:32" ht="30" hidden="1" customHeight="1" x14ac:dyDescent="0.35">
      <c r="A47" s="5" t="s">
        <v>58</v>
      </c>
      <c r="B47" s="5" t="s">
        <v>49</v>
      </c>
      <c r="C47" s="5" t="s">
        <v>149</v>
      </c>
      <c r="D47" s="5" t="s">
        <v>34</v>
      </c>
      <c r="E47" s="6"/>
      <c r="F47" s="5" t="s">
        <v>35</v>
      </c>
      <c r="G47" s="5" t="s">
        <v>142</v>
      </c>
      <c r="H47" s="5" t="s">
        <v>37</v>
      </c>
      <c r="I47" s="5" t="s">
        <v>150</v>
      </c>
      <c r="J47" s="5">
        <v>2</v>
      </c>
      <c r="K47" s="5">
        <v>529</v>
      </c>
      <c r="L47" s="5">
        <v>963</v>
      </c>
      <c r="M47" s="5">
        <f t="shared" ref="M47:M52" si="2">K47+L47</f>
        <v>1492</v>
      </c>
      <c r="N47" s="5"/>
      <c r="O47" s="5"/>
      <c r="P47" s="5" t="str">
        <f t="shared" si="0"/>
        <v/>
      </c>
      <c r="Q47" s="5"/>
      <c r="R47" s="5" t="str">
        <f t="shared" si="1"/>
        <v>significant</v>
      </c>
      <c r="S47" s="5">
        <v>6.0540000000000004E-3</v>
      </c>
      <c r="T47" s="5"/>
      <c r="U47" s="5"/>
      <c r="V47" s="7" t="s">
        <v>40</v>
      </c>
      <c r="W47" s="7" t="s">
        <v>41</v>
      </c>
      <c r="X47" s="5" t="s">
        <v>78</v>
      </c>
      <c r="Y47" s="5" t="s">
        <v>43</v>
      </c>
      <c r="Z47" s="5" t="s">
        <v>56</v>
      </c>
      <c r="AA47" s="5" t="s">
        <v>45</v>
      </c>
      <c r="AB47" s="5" t="s">
        <v>76</v>
      </c>
      <c r="AC47" s="5" t="s">
        <v>46</v>
      </c>
      <c r="AD47" s="5" t="s">
        <v>76</v>
      </c>
      <c r="AE47" s="5" t="s">
        <v>115</v>
      </c>
      <c r="AF47" s="5" t="s">
        <v>66</v>
      </c>
    </row>
    <row r="48" spans="1:32" ht="30" hidden="1" customHeight="1" x14ac:dyDescent="0.35">
      <c r="A48" s="5" t="s">
        <v>58</v>
      </c>
      <c r="B48" s="5" t="s">
        <v>49</v>
      </c>
      <c r="C48" s="5" t="s">
        <v>151</v>
      </c>
      <c r="D48" s="5" t="s">
        <v>34</v>
      </c>
      <c r="E48" s="6"/>
      <c r="F48" s="5" t="s">
        <v>35</v>
      </c>
      <c r="G48" s="5" t="s">
        <v>142</v>
      </c>
      <c r="H48" s="5" t="s">
        <v>37</v>
      </c>
      <c r="I48" s="5" t="s">
        <v>150</v>
      </c>
      <c r="J48" s="5">
        <v>2</v>
      </c>
      <c r="K48" s="5">
        <v>402</v>
      </c>
      <c r="L48" s="5">
        <v>762</v>
      </c>
      <c r="M48" s="5">
        <f t="shared" si="2"/>
        <v>1164</v>
      </c>
      <c r="N48" s="5"/>
      <c r="O48" s="5"/>
      <c r="P48" s="5" t="str">
        <f t="shared" si="0"/>
        <v/>
      </c>
      <c r="Q48" s="5"/>
      <c r="R48" s="5" t="str">
        <f t="shared" si="1"/>
        <v>significant</v>
      </c>
      <c r="S48" s="5">
        <v>6.0540000000000004E-3</v>
      </c>
      <c r="T48" s="5"/>
      <c r="U48" s="5"/>
      <c r="V48" s="7" t="s">
        <v>40</v>
      </c>
      <c r="W48" s="7" t="s">
        <v>41</v>
      </c>
      <c r="X48" s="5" t="s">
        <v>78</v>
      </c>
      <c r="Y48" s="5" t="s">
        <v>43</v>
      </c>
      <c r="Z48" s="5" t="s">
        <v>56</v>
      </c>
      <c r="AA48" s="5" t="s">
        <v>45</v>
      </c>
      <c r="AB48" s="5" t="s">
        <v>76</v>
      </c>
      <c r="AC48" s="5" t="s">
        <v>46</v>
      </c>
      <c r="AD48" s="5" t="s">
        <v>76</v>
      </c>
      <c r="AE48" s="5" t="s">
        <v>115</v>
      </c>
      <c r="AF48" s="5" t="s">
        <v>66</v>
      </c>
    </row>
    <row r="49" spans="1:32" ht="30" hidden="1" customHeight="1" x14ac:dyDescent="0.35">
      <c r="A49" s="5" t="s">
        <v>61</v>
      </c>
      <c r="B49" s="5" t="s">
        <v>49</v>
      </c>
      <c r="C49" s="5" t="s">
        <v>149</v>
      </c>
      <c r="D49" s="5" t="s">
        <v>34</v>
      </c>
      <c r="E49" s="6"/>
      <c r="F49" s="5" t="s">
        <v>35</v>
      </c>
      <c r="G49" s="5" t="s">
        <v>142</v>
      </c>
      <c r="H49" s="5" t="s">
        <v>37</v>
      </c>
      <c r="I49" s="5" t="s">
        <v>152</v>
      </c>
      <c r="J49" s="5">
        <v>2</v>
      </c>
      <c r="K49" s="5">
        <v>130</v>
      </c>
      <c r="L49" s="5">
        <v>900</v>
      </c>
      <c r="M49" s="5">
        <f t="shared" si="2"/>
        <v>1030</v>
      </c>
      <c r="N49" s="5"/>
      <c r="O49" s="5"/>
      <c r="P49" s="5" t="str">
        <f t="shared" si="0"/>
        <v/>
      </c>
      <c r="Q49" s="5"/>
      <c r="R49" s="5" t="str">
        <f t="shared" si="1"/>
        <v>significant</v>
      </c>
      <c r="S49" s="5">
        <v>1.3879999999999999E-3</v>
      </c>
      <c r="T49" s="5"/>
      <c r="U49" s="5"/>
      <c r="V49" s="7" t="s">
        <v>40</v>
      </c>
      <c r="W49" s="7" t="s">
        <v>41</v>
      </c>
      <c r="X49" s="5" t="s">
        <v>78</v>
      </c>
      <c r="Y49" s="5" t="s">
        <v>43</v>
      </c>
      <c r="Z49" s="5" t="s">
        <v>56</v>
      </c>
      <c r="AA49" s="5" t="s">
        <v>45</v>
      </c>
      <c r="AB49" s="5" t="s">
        <v>76</v>
      </c>
      <c r="AC49" s="5" t="s">
        <v>46</v>
      </c>
      <c r="AD49" s="5" t="s">
        <v>76</v>
      </c>
      <c r="AE49" s="5" t="s">
        <v>115</v>
      </c>
      <c r="AF49" s="5" t="s">
        <v>66</v>
      </c>
    </row>
    <row r="50" spans="1:32" ht="30" hidden="1" customHeight="1" x14ac:dyDescent="0.35">
      <c r="A50" s="5" t="s">
        <v>61</v>
      </c>
      <c r="B50" s="5" t="s">
        <v>49</v>
      </c>
      <c r="C50" s="5" t="s">
        <v>151</v>
      </c>
      <c r="D50" s="5" t="s">
        <v>34</v>
      </c>
      <c r="E50" s="6"/>
      <c r="F50" s="5" t="s">
        <v>35</v>
      </c>
      <c r="G50" s="5" t="s">
        <v>142</v>
      </c>
      <c r="H50" s="5" t="s">
        <v>37</v>
      </c>
      <c r="I50" s="5" t="s">
        <v>153</v>
      </c>
      <c r="J50" s="5">
        <v>2</v>
      </c>
      <c r="K50" s="5">
        <v>96</v>
      </c>
      <c r="L50" s="5">
        <v>701</v>
      </c>
      <c r="M50" s="5">
        <f t="shared" si="2"/>
        <v>797</v>
      </c>
      <c r="N50" s="5"/>
      <c r="O50" s="5"/>
      <c r="P50" s="5" t="str">
        <f t="shared" si="0"/>
        <v/>
      </c>
      <c r="Q50" s="5"/>
      <c r="R50" s="5" t="str">
        <f t="shared" si="1"/>
        <v>significant</v>
      </c>
      <c r="S50" s="5">
        <v>1.5075E-2</v>
      </c>
      <c r="T50" s="5"/>
      <c r="U50" s="5"/>
      <c r="V50" s="7" t="s">
        <v>40</v>
      </c>
      <c r="W50" s="7" t="s">
        <v>41</v>
      </c>
      <c r="X50" s="5" t="s">
        <v>78</v>
      </c>
      <c r="Y50" s="5" t="s">
        <v>43</v>
      </c>
      <c r="Z50" s="5" t="s">
        <v>56</v>
      </c>
      <c r="AA50" s="5" t="s">
        <v>45</v>
      </c>
      <c r="AB50" s="5" t="s">
        <v>76</v>
      </c>
      <c r="AC50" s="5" t="s">
        <v>46</v>
      </c>
      <c r="AD50" s="5" t="s">
        <v>76</v>
      </c>
      <c r="AE50" s="5" t="s">
        <v>115</v>
      </c>
      <c r="AF50" s="5" t="s">
        <v>66</v>
      </c>
    </row>
    <row r="51" spans="1:32" ht="30" hidden="1" customHeight="1" x14ac:dyDescent="0.35">
      <c r="A51" s="5" t="s">
        <v>52</v>
      </c>
      <c r="B51" s="5" t="s">
        <v>49</v>
      </c>
      <c r="C51" s="5" t="s">
        <v>149</v>
      </c>
      <c r="D51" s="5" t="s">
        <v>34</v>
      </c>
      <c r="E51" s="6"/>
      <c r="F51" s="5" t="s">
        <v>35</v>
      </c>
      <c r="G51" s="5" t="s">
        <v>142</v>
      </c>
      <c r="H51" s="5" t="s">
        <v>37</v>
      </c>
      <c r="I51" s="5" t="s">
        <v>154</v>
      </c>
      <c r="J51" s="5">
        <v>2</v>
      </c>
      <c r="K51" s="5">
        <v>347</v>
      </c>
      <c r="L51" s="5">
        <v>900</v>
      </c>
      <c r="M51" s="5">
        <f t="shared" si="2"/>
        <v>1247</v>
      </c>
      <c r="N51" s="5"/>
      <c r="O51" s="5"/>
      <c r="P51" s="5" t="str">
        <f t="shared" si="0"/>
        <v/>
      </c>
      <c r="Q51" s="5"/>
      <c r="R51" s="5" t="str">
        <f t="shared" si="1"/>
        <v>insignificant</v>
      </c>
      <c r="S51" s="5">
        <v>0.30962000000000001</v>
      </c>
      <c r="T51" s="5"/>
      <c r="U51" s="5"/>
      <c r="V51" s="7" t="s">
        <v>40</v>
      </c>
      <c r="W51" s="7" t="s">
        <v>41</v>
      </c>
      <c r="X51" s="5" t="s">
        <v>78</v>
      </c>
      <c r="Y51" s="5" t="s">
        <v>43</v>
      </c>
      <c r="Z51" s="5" t="s">
        <v>44</v>
      </c>
      <c r="AA51" s="5" t="s">
        <v>45</v>
      </c>
      <c r="AB51" s="5" t="s">
        <v>76</v>
      </c>
      <c r="AC51" s="5" t="s">
        <v>46</v>
      </c>
      <c r="AD51" s="5" t="s">
        <v>76</v>
      </c>
      <c r="AE51" s="5" t="s">
        <v>75</v>
      </c>
      <c r="AF51" s="5" t="s">
        <v>48</v>
      </c>
    </row>
    <row r="52" spans="1:32" ht="30" hidden="1" customHeight="1" x14ac:dyDescent="0.35">
      <c r="A52" s="13" t="s">
        <v>52</v>
      </c>
      <c r="B52" s="5" t="s">
        <v>49</v>
      </c>
      <c r="C52" s="5" t="s">
        <v>151</v>
      </c>
      <c r="D52" s="5" t="s">
        <v>34</v>
      </c>
      <c r="E52" s="6"/>
      <c r="F52" s="5" t="s">
        <v>35</v>
      </c>
      <c r="G52" s="5" t="s">
        <v>142</v>
      </c>
      <c r="H52" s="5" t="s">
        <v>37</v>
      </c>
      <c r="I52" s="5" t="s">
        <v>155</v>
      </c>
      <c r="J52" s="5">
        <v>2</v>
      </c>
      <c r="K52" s="5">
        <v>294</v>
      </c>
      <c r="L52" s="5">
        <v>701</v>
      </c>
      <c r="M52" s="5">
        <f t="shared" si="2"/>
        <v>995</v>
      </c>
      <c r="N52" s="5"/>
      <c r="O52" s="5"/>
      <c r="P52" s="5" t="str">
        <f t="shared" si="0"/>
        <v/>
      </c>
      <c r="Q52" s="5"/>
      <c r="R52" s="5" t="str">
        <f t="shared" si="1"/>
        <v>insignificant</v>
      </c>
      <c r="S52" s="5">
        <v>0.39777299999999999</v>
      </c>
      <c r="T52" s="5"/>
      <c r="U52" s="5"/>
      <c r="V52" s="7" t="s">
        <v>40</v>
      </c>
      <c r="W52" s="7" t="s">
        <v>41</v>
      </c>
      <c r="X52" s="5" t="s">
        <v>78</v>
      </c>
      <c r="Y52" s="5" t="s">
        <v>43</v>
      </c>
      <c r="Z52" s="5" t="s">
        <v>44</v>
      </c>
      <c r="AA52" s="5" t="s">
        <v>45</v>
      </c>
      <c r="AB52" s="5" t="s">
        <v>76</v>
      </c>
      <c r="AC52" s="5" t="s">
        <v>46</v>
      </c>
      <c r="AD52" s="5" t="s">
        <v>76</v>
      </c>
      <c r="AE52" s="5" t="s">
        <v>75</v>
      </c>
      <c r="AF52" s="5" t="s">
        <v>48</v>
      </c>
    </row>
    <row r="53" spans="1:32" ht="30" hidden="1" customHeight="1" x14ac:dyDescent="0.35">
      <c r="A53" s="5" t="s">
        <v>58</v>
      </c>
      <c r="B53" s="5" t="s">
        <v>63</v>
      </c>
      <c r="C53" s="5" t="s">
        <v>64</v>
      </c>
      <c r="D53" s="5" t="s">
        <v>34</v>
      </c>
      <c r="E53" s="6"/>
      <c r="F53" s="5" t="s">
        <v>35</v>
      </c>
      <c r="G53" s="5" t="s">
        <v>142</v>
      </c>
      <c r="H53" s="5" t="s">
        <v>37</v>
      </c>
      <c r="I53" s="5" t="s">
        <v>156</v>
      </c>
      <c r="J53" s="5">
        <v>2</v>
      </c>
      <c r="K53" s="6">
        <v>129</v>
      </c>
      <c r="L53" s="6">
        <v>83</v>
      </c>
      <c r="M53" s="6">
        <f>129+83</f>
        <v>212</v>
      </c>
      <c r="N53" s="6"/>
      <c r="O53" s="6"/>
      <c r="P53" s="5" t="str">
        <f t="shared" si="0"/>
        <v/>
      </c>
      <c r="Q53" s="5"/>
      <c r="R53" s="5" t="str">
        <f t="shared" si="1"/>
        <v>significant</v>
      </c>
      <c r="S53" s="9">
        <v>2.5000000000000001E-5</v>
      </c>
      <c r="T53" s="5"/>
      <c r="U53" s="5"/>
      <c r="V53" s="7" t="s">
        <v>40</v>
      </c>
      <c r="W53" s="7" t="s">
        <v>41</v>
      </c>
      <c r="X53" s="5" t="s">
        <v>78</v>
      </c>
      <c r="Y53" s="5" t="s">
        <v>43</v>
      </c>
      <c r="Z53" s="5" t="s">
        <v>56</v>
      </c>
      <c r="AA53" s="5" t="s">
        <v>45</v>
      </c>
      <c r="AB53" s="5" t="s">
        <v>76</v>
      </c>
      <c r="AC53" s="5" t="s">
        <v>76</v>
      </c>
      <c r="AD53" s="5" t="s">
        <v>76</v>
      </c>
      <c r="AE53" s="5" t="s">
        <v>41</v>
      </c>
      <c r="AF53" s="5" t="s">
        <v>66</v>
      </c>
    </row>
    <row r="54" spans="1:32" ht="30" customHeight="1" x14ac:dyDescent="0.35">
      <c r="A54" s="5" t="s">
        <v>58</v>
      </c>
      <c r="B54" s="5" t="s">
        <v>33</v>
      </c>
      <c r="C54" s="5" t="s">
        <v>157</v>
      </c>
      <c r="D54" s="5" t="s">
        <v>34</v>
      </c>
      <c r="E54" s="6" t="s">
        <v>158</v>
      </c>
      <c r="F54" s="6" t="s">
        <v>35</v>
      </c>
      <c r="G54" s="6" t="s">
        <v>159</v>
      </c>
      <c r="H54" s="5" t="s">
        <v>37</v>
      </c>
      <c r="I54" s="5" t="s">
        <v>160</v>
      </c>
      <c r="J54" s="5">
        <v>5</v>
      </c>
      <c r="K54" s="5"/>
      <c r="L54" s="5"/>
      <c r="M54" s="5"/>
      <c r="N54" s="5"/>
      <c r="O54" s="5"/>
      <c r="P54" s="5" t="str">
        <f t="shared" si="0"/>
        <v/>
      </c>
      <c r="Q54" s="5"/>
      <c r="R54" s="5" t="str">
        <f t="shared" si="1"/>
        <v>insignificant</v>
      </c>
      <c r="S54" s="5">
        <v>0.14480100000000001</v>
      </c>
      <c r="T54" s="5" t="s">
        <v>161</v>
      </c>
      <c r="U54" s="5">
        <v>0.41299999999999998</v>
      </c>
      <c r="V54" s="7" t="s">
        <v>40</v>
      </c>
      <c r="W54" s="7" t="s">
        <v>41</v>
      </c>
      <c r="X54" s="5" t="s">
        <v>78</v>
      </c>
      <c r="Y54" s="5" t="s">
        <v>43</v>
      </c>
      <c r="Z54" s="5" t="s">
        <v>44</v>
      </c>
      <c r="AA54" s="5" t="s">
        <v>43</v>
      </c>
      <c r="AB54" s="5" t="s">
        <v>46</v>
      </c>
      <c r="AC54" s="5" t="s">
        <v>46</v>
      </c>
      <c r="AD54" s="5" t="s">
        <v>46</v>
      </c>
      <c r="AE54" s="5" t="s">
        <v>47</v>
      </c>
      <c r="AF54" s="5" t="s">
        <v>48</v>
      </c>
    </row>
    <row r="55" spans="1:32" ht="30" customHeight="1" x14ac:dyDescent="0.35">
      <c r="A55" s="5" t="s">
        <v>58</v>
      </c>
      <c r="B55" s="5" t="s">
        <v>33</v>
      </c>
      <c r="C55" s="5" t="s">
        <v>162</v>
      </c>
      <c r="D55" s="5" t="s">
        <v>34</v>
      </c>
      <c r="E55" s="6" t="s">
        <v>158</v>
      </c>
      <c r="F55" s="5" t="s">
        <v>35</v>
      </c>
      <c r="G55" s="6" t="s">
        <v>159</v>
      </c>
      <c r="H55" s="5" t="s">
        <v>37</v>
      </c>
      <c r="I55" s="5" t="s">
        <v>163</v>
      </c>
      <c r="J55" s="5">
        <v>5</v>
      </c>
      <c r="K55" s="5"/>
      <c r="L55" s="5"/>
      <c r="M55" s="5"/>
      <c r="N55" s="5"/>
      <c r="O55" s="5"/>
      <c r="P55" s="5" t="str">
        <f t="shared" si="0"/>
        <v/>
      </c>
      <c r="Q55" s="5"/>
      <c r="R55" s="5" t="str">
        <f t="shared" si="1"/>
        <v>insignificant</v>
      </c>
      <c r="S55" s="5">
        <v>0.25579400000000002</v>
      </c>
      <c r="T55" s="5">
        <v>0.17799999999999999</v>
      </c>
      <c r="U55" s="5">
        <v>0.126</v>
      </c>
      <c r="V55" s="7" t="s">
        <v>40</v>
      </c>
      <c r="W55" s="7" t="s">
        <v>41</v>
      </c>
      <c r="X55" s="5" t="s">
        <v>78</v>
      </c>
      <c r="Y55" s="5" t="s">
        <v>43</v>
      </c>
      <c r="Z55" s="5" t="s">
        <v>44</v>
      </c>
      <c r="AA55" s="5" t="s">
        <v>43</v>
      </c>
      <c r="AB55" s="5" t="s">
        <v>46</v>
      </c>
      <c r="AC55" s="5" t="s">
        <v>46</v>
      </c>
      <c r="AD55" s="5" t="s">
        <v>46</v>
      </c>
      <c r="AE55" s="5" t="s">
        <v>47</v>
      </c>
      <c r="AF55" s="5" t="s">
        <v>48</v>
      </c>
    </row>
    <row r="56" spans="1:32" ht="30" customHeight="1" x14ac:dyDescent="0.35">
      <c r="A56" s="5" t="s">
        <v>61</v>
      </c>
      <c r="B56" s="5" t="s">
        <v>33</v>
      </c>
      <c r="C56" s="5"/>
      <c r="D56" s="5" t="s">
        <v>34</v>
      </c>
      <c r="E56" s="6" t="s">
        <v>158</v>
      </c>
      <c r="F56" s="5" t="s">
        <v>35</v>
      </c>
      <c r="G56" s="5" t="s">
        <v>159</v>
      </c>
      <c r="H56" s="5" t="s">
        <v>37</v>
      </c>
      <c r="I56" s="5" t="s">
        <v>164</v>
      </c>
      <c r="J56" s="5">
        <v>3</v>
      </c>
      <c r="K56" s="5"/>
      <c r="L56" s="5"/>
      <c r="M56" s="5"/>
      <c r="N56" s="5"/>
      <c r="O56" s="5"/>
      <c r="P56" s="5" t="str">
        <f t="shared" si="0"/>
        <v/>
      </c>
      <c r="Q56" s="5"/>
      <c r="R56" s="5" t="str">
        <f t="shared" si="1"/>
        <v>insignificant</v>
      </c>
      <c r="S56" s="5">
        <v>0.56991199999999997</v>
      </c>
      <c r="T56" s="5">
        <v>0.81299999999999994</v>
      </c>
      <c r="U56" s="5">
        <v>0.94499999999999995</v>
      </c>
      <c r="V56" s="7" t="s">
        <v>40</v>
      </c>
      <c r="W56" s="7" t="s">
        <v>41</v>
      </c>
      <c r="X56" s="5" t="s">
        <v>78</v>
      </c>
      <c r="Y56" s="5" t="s">
        <v>43</v>
      </c>
      <c r="Z56" s="5" t="s">
        <v>44</v>
      </c>
      <c r="AA56" s="5" t="s">
        <v>43</v>
      </c>
      <c r="AB56" s="5" t="s">
        <v>46</v>
      </c>
      <c r="AC56" s="5" t="s">
        <v>46</v>
      </c>
      <c r="AD56" s="5" t="s">
        <v>46</v>
      </c>
      <c r="AE56" s="5" t="s">
        <v>47</v>
      </c>
      <c r="AF56" s="5" t="s">
        <v>48</v>
      </c>
    </row>
    <row r="57" spans="1:32" ht="30" hidden="1" customHeight="1" x14ac:dyDescent="0.35">
      <c r="A57" s="5" t="s">
        <v>165</v>
      </c>
      <c r="B57" s="5" t="s">
        <v>49</v>
      </c>
      <c r="C57" s="5" t="s">
        <v>50</v>
      </c>
      <c r="D57" s="5" t="s">
        <v>34</v>
      </c>
      <c r="E57" s="6" t="s">
        <v>158</v>
      </c>
      <c r="F57" s="5" t="s">
        <v>35</v>
      </c>
      <c r="G57" s="5" t="s">
        <v>159</v>
      </c>
      <c r="H57" s="5" t="s">
        <v>37</v>
      </c>
      <c r="I57" s="5" t="s">
        <v>166</v>
      </c>
      <c r="J57" s="5">
        <v>5</v>
      </c>
      <c r="K57" s="5"/>
      <c r="L57" s="5"/>
      <c r="M57" s="5"/>
      <c r="N57" s="5"/>
      <c r="O57" s="5"/>
      <c r="P57" s="5" t="str">
        <f t="shared" si="0"/>
        <v/>
      </c>
      <c r="Q57" s="5"/>
      <c r="R57" s="5" t="str">
        <f t="shared" si="1"/>
        <v>insignificant</v>
      </c>
      <c r="S57" s="5">
        <v>0.43828600000000001</v>
      </c>
      <c r="T57" s="5" t="s">
        <v>167</v>
      </c>
      <c r="U57" s="5">
        <v>0.54600000000000004</v>
      </c>
      <c r="V57" s="7" t="s">
        <v>40</v>
      </c>
      <c r="W57" s="7" t="s">
        <v>41</v>
      </c>
      <c r="X57" s="5" t="s">
        <v>78</v>
      </c>
      <c r="Y57" s="5" t="s">
        <v>43</v>
      </c>
      <c r="Z57" s="5" t="s">
        <v>44</v>
      </c>
      <c r="AA57" s="5" t="s">
        <v>43</v>
      </c>
      <c r="AB57" s="5" t="s">
        <v>46</v>
      </c>
      <c r="AC57" s="5" t="s">
        <v>46</v>
      </c>
      <c r="AD57" s="5" t="s">
        <v>46</v>
      </c>
      <c r="AE57" s="5" t="s">
        <v>47</v>
      </c>
      <c r="AF57" s="5" t="s">
        <v>48</v>
      </c>
    </row>
    <row r="58" spans="1:32" ht="30" customHeight="1" x14ac:dyDescent="0.35">
      <c r="A58" s="5" t="s">
        <v>52</v>
      </c>
      <c r="B58" s="5" t="s">
        <v>33</v>
      </c>
      <c r="C58" s="5"/>
      <c r="D58" s="5" t="s">
        <v>34</v>
      </c>
      <c r="E58" s="6" t="s">
        <v>158</v>
      </c>
      <c r="F58" s="5" t="s">
        <v>35</v>
      </c>
      <c r="G58" s="5" t="s">
        <v>159</v>
      </c>
      <c r="H58" s="5" t="s">
        <v>37</v>
      </c>
      <c r="I58" s="5" t="s">
        <v>168</v>
      </c>
      <c r="J58" s="5">
        <v>5</v>
      </c>
      <c r="K58" s="5"/>
      <c r="L58" s="5"/>
      <c r="M58" s="5"/>
      <c r="N58" s="5" t="s">
        <v>169</v>
      </c>
      <c r="O58" s="5"/>
      <c r="P58" s="5" t="str">
        <f t="shared" si="0"/>
        <v/>
      </c>
      <c r="Q58" s="5"/>
      <c r="R58" s="5" t="str">
        <f t="shared" si="1"/>
        <v>insignificant</v>
      </c>
      <c r="S58" s="5" t="s">
        <v>170</v>
      </c>
      <c r="T58" s="5">
        <v>0.84</v>
      </c>
      <c r="U58" s="5">
        <v>0.66600000000000004</v>
      </c>
      <c r="V58" s="7" t="s">
        <v>40</v>
      </c>
      <c r="W58" s="7" t="s">
        <v>41</v>
      </c>
      <c r="X58" s="5" t="s">
        <v>78</v>
      </c>
      <c r="Y58" s="5" t="s">
        <v>43</v>
      </c>
      <c r="Z58" s="5" t="s">
        <v>56</v>
      </c>
      <c r="AA58" s="5" t="s">
        <v>43</v>
      </c>
      <c r="AB58" s="5" t="s">
        <v>46</v>
      </c>
      <c r="AC58" s="5" t="s">
        <v>46</v>
      </c>
      <c r="AD58" s="5" t="s">
        <v>46</v>
      </c>
      <c r="AE58" s="5" t="s">
        <v>47</v>
      </c>
      <c r="AF58" s="5" t="s">
        <v>66</v>
      </c>
    </row>
    <row r="59" spans="1:32" ht="30" hidden="1" customHeight="1" x14ac:dyDescent="0.35">
      <c r="A59" s="5" t="s">
        <v>165</v>
      </c>
      <c r="B59" s="5" t="s">
        <v>67</v>
      </c>
      <c r="C59" s="5" t="s">
        <v>68</v>
      </c>
      <c r="D59" s="5" t="s">
        <v>34</v>
      </c>
      <c r="E59" s="6" t="s">
        <v>158</v>
      </c>
      <c r="F59" s="5" t="s">
        <v>35</v>
      </c>
      <c r="G59" s="5" t="s">
        <v>159</v>
      </c>
      <c r="H59" s="5" t="s">
        <v>37</v>
      </c>
      <c r="I59" s="5" t="s">
        <v>171</v>
      </c>
      <c r="J59" s="5">
        <v>5</v>
      </c>
      <c r="K59" s="5"/>
      <c r="L59" s="5"/>
      <c r="M59" s="5"/>
      <c r="N59" s="5"/>
      <c r="O59" s="5"/>
      <c r="P59" s="5" t="str">
        <f t="shared" si="0"/>
        <v/>
      </c>
      <c r="Q59" s="5"/>
      <c r="R59" s="5" t="str">
        <f t="shared" si="1"/>
        <v>significant</v>
      </c>
      <c r="S59" s="5">
        <v>3.8114000000000002E-2</v>
      </c>
      <c r="T59" s="5">
        <v>0.83299999999999996</v>
      </c>
      <c r="U59" s="5">
        <v>0.66200000000000003</v>
      </c>
      <c r="V59" s="7" t="s">
        <v>40</v>
      </c>
      <c r="W59" s="7" t="s">
        <v>41</v>
      </c>
      <c r="X59" s="5" t="s">
        <v>78</v>
      </c>
      <c r="Y59" s="5" t="s">
        <v>43</v>
      </c>
      <c r="Z59" s="5" t="s">
        <v>56</v>
      </c>
      <c r="AA59" s="5" t="s">
        <v>43</v>
      </c>
      <c r="AB59" s="5" t="s">
        <v>46</v>
      </c>
      <c r="AC59" s="5" t="s">
        <v>46</v>
      </c>
      <c r="AD59" s="5" t="s">
        <v>46</v>
      </c>
      <c r="AE59" s="5" t="s">
        <v>47</v>
      </c>
      <c r="AF59" s="5" t="s">
        <v>66</v>
      </c>
    </row>
    <row r="60" spans="1:32" ht="30" hidden="1" customHeight="1" x14ac:dyDescent="0.35">
      <c r="A60" s="5" t="s">
        <v>165</v>
      </c>
      <c r="B60" s="5" t="s">
        <v>49</v>
      </c>
      <c r="C60" s="5" t="s">
        <v>172</v>
      </c>
      <c r="D60" s="5" t="s">
        <v>34</v>
      </c>
      <c r="E60" s="6" t="s">
        <v>158</v>
      </c>
      <c r="F60" s="5" t="s">
        <v>35</v>
      </c>
      <c r="G60" s="5" t="s">
        <v>159</v>
      </c>
      <c r="H60" s="5" t="s">
        <v>37</v>
      </c>
      <c r="I60" s="5" t="s">
        <v>173</v>
      </c>
      <c r="J60" s="5">
        <v>5</v>
      </c>
      <c r="K60" s="5"/>
      <c r="L60" s="5"/>
      <c r="M60" s="5"/>
      <c r="N60" s="5"/>
      <c r="O60" s="5"/>
      <c r="P60" s="5" t="str">
        <f t="shared" si="0"/>
        <v/>
      </c>
      <c r="Q60" s="5"/>
      <c r="R60" s="5" t="str">
        <f t="shared" si="1"/>
        <v>insignificant</v>
      </c>
      <c r="S60" s="5">
        <v>0.210198</v>
      </c>
      <c r="T60" s="5" t="s">
        <v>174</v>
      </c>
      <c r="U60" s="5">
        <v>0.54600000000000004</v>
      </c>
      <c r="V60" s="7" t="s">
        <v>40</v>
      </c>
      <c r="W60" s="7" t="s">
        <v>41</v>
      </c>
      <c r="X60" s="5" t="s">
        <v>78</v>
      </c>
      <c r="Y60" s="5" t="s">
        <v>43</v>
      </c>
      <c r="Z60" s="5" t="s">
        <v>44</v>
      </c>
      <c r="AA60" s="5" t="s">
        <v>43</v>
      </c>
      <c r="AB60" s="5" t="s">
        <v>46</v>
      </c>
      <c r="AC60" s="5" t="s">
        <v>46</v>
      </c>
      <c r="AD60" s="5" t="s">
        <v>46</v>
      </c>
      <c r="AE60" s="5" t="s">
        <v>47</v>
      </c>
      <c r="AF60" s="5" t="s">
        <v>48</v>
      </c>
    </row>
    <row r="61" spans="1:32" ht="30" customHeight="1" x14ac:dyDescent="0.35">
      <c r="A61" s="5" t="s">
        <v>165</v>
      </c>
      <c r="B61" s="5" t="s">
        <v>33</v>
      </c>
      <c r="C61" s="5"/>
      <c r="D61" s="5" t="s">
        <v>34</v>
      </c>
      <c r="E61" s="6" t="s">
        <v>158</v>
      </c>
      <c r="F61" s="5" t="s">
        <v>35</v>
      </c>
      <c r="G61" s="5" t="s">
        <v>175</v>
      </c>
      <c r="H61" s="5" t="s">
        <v>37</v>
      </c>
      <c r="I61" s="5" t="s">
        <v>176</v>
      </c>
      <c r="J61" s="5">
        <v>9</v>
      </c>
      <c r="K61" s="5"/>
      <c r="L61" s="5"/>
      <c r="M61" s="5"/>
      <c r="N61" s="5" t="s">
        <v>177</v>
      </c>
      <c r="O61" s="5">
        <v>17333</v>
      </c>
      <c r="P61" s="5" t="str">
        <f t="shared" si="0"/>
        <v/>
      </c>
      <c r="Q61" s="5"/>
      <c r="R61" s="5" t="str">
        <f t="shared" si="1"/>
        <v>significant</v>
      </c>
      <c r="S61" s="5">
        <v>3.9573999999999998E-2</v>
      </c>
      <c r="T61" s="5">
        <v>5.1999999999999998E-2</v>
      </c>
      <c r="U61" s="5">
        <v>0.91400000000000003</v>
      </c>
      <c r="V61" s="7" t="s">
        <v>40</v>
      </c>
      <c r="W61" s="7" t="s">
        <v>41</v>
      </c>
      <c r="X61" s="5" t="s">
        <v>78</v>
      </c>
      <c r="Y61" s="5" t="s">
        <v>43</v>
      </c>
      <c r="Z61" s="5" t="s">
        <v>56</v>
      </c>
      <c r="AA61" s="5" t="s">
        <v>43</v>
      </c>
      <c r="AB61" s="5" t="s">
        <v>46</v>
      </c>
      <c r="AC61" s="5" t="s">
        <v>46</v>
      </c>
      <c r="AD61" s="5" t="s">
        <v>46</v>
      </c>
      <c r="AE61" s="5" t="s">
        <v>47</v>
      </c>
      <c r="AF61" s="5" t="s">
        <v>66</v>
      </c>
    </row>
    <row r="62" spans="1:32" ht="30" hidden="1" customHeight="1" x14ac:dyDescent="0.35">
      <c r="A62" s="5" t="s">
        <v>61</v>
      </c>
      <c r="B62" s="5" t="s">
        <v>67</v>
      </c>
      <c r="C62" s="5" t="s">
        <v>81</v>
      </c>
      <c r="D62" s="5" t="s">
        <v>34</v>
      </c>
      <c r="E62" s="6" t="s">
        <v>178</v>
      </c>
      <c r="F62" s="5" t="s">
        <v>35</v>
      </c>
      <c r="G62" s="5" t="s">
        <v>179</v>
      </c>
      <c r="H62" s="5" t="s">
        <v>73</v>
      </c>
      <c r="I62" s="5" t="s">
        <v>180</v>
      </c>
      <c r="J62" s="5">
        <v>7</v>
      </c>
      <c r="K62" s="5"/>
      <c r="L62" s="5"/>
      <c r="M62" s="5"/>
      <c r="N62" s="5"/>
      <c r="O62" s="5">
        <v>537</v>
      </c>
      <c r="P62" s="5" t="str">
        <f t="shared" si="0"/>
        <v>Not heterogeneous</v>
      </c>
      <c r="Q62" s="5">
        <v>26.13</v>
      </c>
      <c r="R62" s="5" t="str">
        <f t="shared" si="1"/>
        <v>insignificant</v>
      </c>
      <c r="S62" s="5">
        <v>0.61241900000000005</v>
      </c>
      <c r="T62" s="5"/>
      <c r="U62" s="5">
        <v>0.70609999999999995</v>
      </c>
      <c r="V62" s="7" t="s">
        <v>41</v>
      </c>
      <c r="W62" s="7" t="s">
        <v>75</v>
      </c>
      <c r="X62" s="5" t="s">
        <v>55</v>
      </c>
      <c r="Y62" s="5" t="s">
        <v>43</v>
      </c>
      <c r="Z62" s="5" t="s">
        <v>44</v>
      </c>
      <c r="AA62" s="5" t="s">
        <v>43</v>
      </c>
      <c r="AB62" s="5" t="s">
        <v>46</v>
      </c>
      <c r="AC62" s="5" t="s">
        <v>46</v>
      </c>
      <c r="AD62" s="5" t="s">
        <v>46</v>
      </c>
      <c r="AE62" s="5" t="s">
        <v>47</v>
      </c>
      <c r="AF62" s="5" t="s">
        <v>48</v>
      </c>
    </row>
    <row r="63" spans="1:32" ht="30" hidden="1" customHeight="1" x14ac:dyDescent="0.35">
      <c r="A63" s="5" t="s">
        <v>61</v>
      </c>
      <c r="B63" s="5" t="s">
        <v>67</v>
      </c>
      <c r="C63" s="5" t="s">
        <v>104</v>
      </c>
      <c r="D63" s="5" t="s">
        <v>34</v>
      </c>
      <c r="E63" s="6" t="s">
        <v>178</v>
      </c>
      <c r="F63" s="5" t="s">
        <v>35</v>
      </c>
      <c r="G63" s="5" t="s">
        <v>179</v>
      </c>
      <c r="H63" s="5" t="s">
        <v>73</v>
      </c>
      <c r="I63" s="5" t="s">
        <v>181</v>
      </c>
      <c r="J63" s="5">
        <v>6</v>
      </c>
      <c r="K63" s="5"/>
      <c r="L63" s="5"/>
      <c r="M63" s="5"/>
      <c r="N63" s="5"/>
      <c r="O63" s="5">
        <v>402</v>
      </c>
      <c r="P63" s="5" t="str">
        <f t="shared" si="0"/>
        <v>Heterogeneous</v>
      </c>
      <c r="Q63" s="5">
        <v>75.849999999999994</v>
      </c>
      <c r="R63" s="5" t="str">
        <f t="shared" si="1"/>
        <v>insignificant</v>
      </c>
      <c r="S63" s="5">
        <v>0.26867200000000002</v>
      </c>
      <c r="T63" s="5"/>
      <c r="U63" s="5">
        <v>0.63919999999999999</v>
      </c>
      <c r="V63" s="7" t="s">
        <v>41</v>
      </c>
      <c r="W63" s="7" t="s">
        <v>75</v>
      </c>
      <c r="X63" s="5" t="s">
        <v>42</v>
      </c>
      <c r="Y63" s="5" t="s">
        <v>43</v>
      </c>
      <c r="Z63" s="5" t="s">
        <v>44</v>
      </c>
      <c r="AA63" s="5" t="s">
        <v>43</v>
      </c>
      <c r="AB63" s="5" t="s">
        <v>46</v>
      </c>
      <c r="AC63" s="5" t="s">
        <v>46</v>
      </c>
      <c r="AD63" s="5" t="s">
        <v>46</v>
      </c>
      <c r="AE63" s="5" t="s">
        <v>47</v>
      </c>
      <c r="AF63" s="5" t="s">
        <v>48</v>
      </c>
    </row>
    <row r="64" spans="1:32" ht="30" hidden="1" customHeight="1" x14ac:dyDescent="0.35">
      <c r="A64" s="5" t="s">
        <v>182</v>
      </c>
      <c r="B64" s="5" t="s">
        <v>67</v>
      </c>
      <c r="C64" s="5" t="s">
        <v>81</v>
      </c>
      <c r="D64" s="5" t="s">
        <v>34</v>
      </c>
      <c r="E64" s="6" t="s">
        <v>178</v>
      </c>
      <c r="F64" s="5" t="s">
        <v>35</v>
      </c>
      <c r="G64" s="5" t="s">
        <v>179</v>
      </c>
      <c r="H64" s="5" t="s">
        <v>73</v>
      </c>
      <c r="I64" s="5" t="s">
        <v>183</v>
      </c>
      <c r="J64" s="5">
        <v>4</v>
      </c>
      <c r="K64" s="5">
        <v>178</v>
      </c>
      <c r="L64" s="5"/>
      <c r="M64" s="5"/>
      <c r="N64" s="5"/>
      <c r="O64" s="5"/>
      <c r="P64" s="5" t="str">
        <f t="shared" si="0"/>
        <v>Heterogeneous</v>
      </c>
      <c r="Q64" s="5">
        <v>85.49</v>
      </c>
      <c r="R64" s="5" t="str">
        <f t="shared" si="1"/>
        <v>insignificant</v>
      </c>
      <c r="S64" s="5">
        <v>0.81288400000000005</v>
      </c>
      <c r="T64" s="5"/>
      <c r="U64" s="5">
        <v>0.32319999999999999</v>
      </c>
      <c r="V64" s="7" t="s">
        <v>41</v>
      </c>
      <c r="W64" s="7" t="s">
        <v>75</v>
      </c>
      <c r="X64" s="5" t="s">
        <v>42</v>
      </c>
      <c r="Y64" s="5" t="s">
        <v>43</v>
      </c>
      <c r="Z64" s="5" t="s">
        <v>44</v>
      </c>
      <c r="AA64" s="5" t="s">
        <v>43</v>
      </c>
      <c r="AB64" s="5" t="s">
        <v>46</v>
      </c>
      <c r="AC64" s="5" t="s">
        <v>46</v>
      </c>
      <c r="AD64" s="5" t="s">
        <v>46</v>
      </c>
      <c r="AE64" s="5" t="s">
        <v>47</v>
      </c>
      <c r="AF64" s="5" t="s">
        <v>48</v>
      </c>
    </row>
    <row r="65" spans="1:32" ht="30" hidden="1" customHeight="1" x14ac:dyDescent="0.35">
      <c r="A65" s="5" t="s">
        <v>182</v>
      </c>
      <c r="B65" s="5" t="s">
        <v>67</v>
      </c>
      <c r="C65" s="5" t="s">
        <v>68</v>
      </c>
      <c r="D65" s="5" t="s">
        <v>34</v>
      </c>
      <c r="E65" s="6" t="s">
        <v>178</v>
      </c>
      <c r="F65" s="5" t="s">
        <v>35</v>
      </c>
      <c r="G65" s="5" t="s">
        <v>179</v>
      </c>
      <c r="H65" s="5" t="s">
        <v>73</v>
      </c>
      <c r="I65" s="5" t="s">
        <v>184</v>
      </c>
      <c r="J65" s="5">
        <v>3</v>
      </c>
      <c r="K65" s="5">
        <v>121</v>
      </c>
      <c r="L65" s="5"/>
      <c r="M65" s="5"/>
      <c r="N65" s="5"/>
      <c r="O65" s="5"/>
      <c r="P65" s="5" t="str">
        <f t="shared" si="0"/>
        <v>Heterogeneous</v>
      </c>
      <c r="Q65" s="5" t="s">
        <v>86</v>
      </c>
      <c r="R65" s="5" t="str">
        <f t="shared" si="1"/>
        <v>insignificant</v>
      </c>
      <c r="S65" s="5">
        <v>0.28501399999999999</v>
      </c>
      <c r="T65" s="5"/>
      <c r="U65" s="5">
        <v>0.73750000000000004</v>
      </c>
      <c r="V65" s="7" t="s">
        <v>41</v>
      </c>
      <c r="W65" s="7" t="s">
        <v>75</v>
      </c>
      <c r="X65" s="5" t="s">
        <v>43</v>
      </c>
      <c r="Y65" s="5" t="s">
        <v>43</v>
      </c>
      <c r="Z65" s="5" t="s">
        <v>44</v>
      </c>
      <c r="AA65" s="5" t="s">
        <v>43</v>
      </c>
      <c r="AB65" s="5" t="s">
        <v>46</v>
      </c>
      <c r="AC65" s="5" t="s">
        <v>46</v>
      </c>
      <c r="AD65" s="5" t="s">
        <v>46</v>
      </c>
      <c r="AE65" s="5" t="s">
        <v>47</v>
      </c>
      <c r="AF65" s="5" t="s">
        <v>48</v>
      </c>
    </row>
    <row r="66" spans="1:32" ht="30" hidden="1" customHeight="1" x14ac:dyDescent="0.35">
      <c r="A66" s="5" t="s">
        <v>182</v>
      </c>
      <c r="B66" s="5" t="s">
        <v>67</v>
      </c>
      <c r="C66" s="5" t="s">
        <v>104</v>
      </c>
      <c r="D66" s="5" t="s">
        <v>34</v>
      </c>
      <c r="E66" s="6" t="s">
        <v>178</v>
      </c>
      <c r="F66" s="5" t="s">
        <v>35</v>
      </c>
      <c r="G66" s="5" t="s">
        <v>179</v>
      </c>
      <c r="H66" s="5" t="s">
        <v>73</v>
      </c>
      <c r="I66" s="5" t="s">
        <v>185</v>
      </c>
      <c r="J66" s="5">
        <v>4</v>
      </c>
      <c r="K66" s="5">
        <v>152</v>
      </c>
      <c r="L66" s="5"/>
      <c r="M66" s="5"/>
      <c r="N66" s="5"/>
      <c r="O66" s="5"/>
      <c r="P66" s="5" t="str">
        <f t="shared" si="0"/>
        <v>Heterogeneous</v>
      </c>
      <c r="Q66" s="5">
        <v>61.39</v>
      </c>
      <c r="R66" s="5" t="str">
        <f t="shared" si="1"/>
        <v>insignificant</v>
      </c>
      <c r="S66" s="5">
        <v>8.9560000000000001E-2</v>
      </c>
      <c r="T66" s="5"/>
      <c r="U66" s="5">
        <v>0.38219999999999998</v>
      </c>
      <c r="V66" s="7" t="s">
        <v>41</v>
      </c>
      <c r="W66" s="7" t="s">
        <v>75</v>
      </c>
      <c r="X66" s="5" t="s">
        <v>42</v>
      </c>
      <c r="Y66" s="5" t="s">
        <v>43</v>
      </c>
      <c r="Z66" s="5" t="s">
        <v>44</v>
      </c>
      <c r="AA66" s="5" t="s">
        <v>43</v>
      </c>
      <c r="AB66" s="5" t="s">
        <v>46</v>
      </c>
      <c r="AC66" s="5" t="s">
        <v>46</v>
      </c>
      <c r="AD66" s="5" t="s">
        <v>46</v>
      </c>
      <c r="AE66" s="5" t="s">
        <v>47</v>
      </c>
      <c r="AF66" s="5" t="s">
        <v>48</v>
      </c>
    </row>
    <row r="67" spans="1:32" ht="30" hidden="1" customHeight="1" x14ac:dyDescent="0.35">
      <c r="A67" s="5" t="s">
        <v>186</v>
      </c>
      <c r="B67" s="5" t="s">
        <v>67</v>
      </c>
      <c r="C67" s="5" t="s">
        <v>81</v>
      </c>
      <c r="D67" s="5" t="s">
        <v>34</v>
      </c>
      <c r="E67" s="6" t="s">
        <v>178</v>
      </c>
      <c r="F67" s="5" t="s">
        <v>35</v>
      </c>
      <c r="G67" s="5" t="s">
        <v>179</v>
      </c>
      <c r="H67" s="5" t="s">
        <v>73</v>
      </c>
      <c r="I67" s="5" t="s">
        <v>187</v>
      </c>
      <c r="J67" s="5">
        <v>3</v>
      </c>
      <c r="K67" s="5">
        <v>213</v>
      </c>
      <c r="L67" s="5"/>
      <c r="M67" s="5"/>
      <c r="N67" s="5"/>
      <c r="O67" s="5"/>
      <c r="P67" s="5" t="str">
        <f t="shared" si="0"/>
        <v>Heterogeneous</v>
      </c>
      <c r="Q67" s="5" t="s">
        <v>86</v>
      </c>
      <c r="R67" s="5" t="str">
        <f t="shared" si="1"/>
        <v>insignificant</v>
      </c>
      <c r="S67" s="5">
        <v>0.16848399999999999</v>
      </c>
      <c r="T67" s="5"/>
      <c r="U67" s="5">
        <v>0.38879999999999998</v>
      </c>
      <c r="V67" s="7" t="s">
        <v>41</v>
      </c>
      <c r="W67" s="7" t="s">
        <v>75</v>
      </c>
      <c r="X67" s="5" t="s">
        <v>43</v>
      </c>
      <c r="Y67" s="5" t="s">
        <v>43</v>
      </c>
      <c r="Z67" s="5" t="s">
        <v>44</v>
      </c>
      <c r="AA67" s="5" t="s">
        <v>43</v>
      </c>
      <c r="AB67" s="5" t="s">
        <v>46</v>
      </c>
      <c r="AC67" s="5" t="s">
        <v>46</v>
      </c>
      <c r="AD67" s="5" t="s">
        <v>46</v>
      </c>
      <c r="AE67" s="5" t="s">
        <v>47</v>
      </c>
      <c r="AF67" s="5" t="s">
        <v>48</v>
      </c>
    </row>
    <row r="68" spans="1:32" ht="30" hidden="1" customHeight="1" x14ac:dyDescent="0.35">
      <c r="A68" s="5" t="s">
        <v>186</v>
      </c>
      <c r="B68" s="5" t="s">
        <v>67</v>
      </c>
      <c r="C68" s="5" t="s">
        <v>104</v>
      </c>
      <c r="D68" s="5" t="s">
        <v>34</v>
      </c>
      <c r="E68" s="6" t="s">
        <v>178</v>
      </c>
      <c r="F68" s="5" t="s">
        <v>35</v>
      </c>
      <c r="G68" s="5" t="s">
        <v>179</v>
      </c>
      <c r="H68" s="5" t="s">
        <v>73</v>
      </c>
      <c r="I68" s="5" t="s">
        <v>188</v>
      </c>
      <c r="J68" s="5">
        <v>3</v>
      </c>
      <c r="K68" s="5">
        <v>179</v>
      </c>
      <c r="L68" s="5"/>
      <c r="M68" s="5"/>
      <c r="N68" s="5"/>
      <c r="O68" s="5"/>
      <c r="P68" s="5" t="str">
        <f t="shared" si="0"/>
        <v>Heterogeneous</v>
      </c>
      <c r="Q68" s="5" t="s">
        <v>86</v>
      </c>
      <c r="R68" s="5" t="str">
        <f t="shared" si="1"/>
        <v>insignificant</v>
      </c>
      <c r="S68" s="5">
        <v>0.41879100000000002</v>
      </c>
      <c r="T68" s="5"/>
      <c r="U68" s="5">
        <v>0.61529999999999996</v>
      </c>
      <c r="V68" s="7" t="s">
        <v>41</v>
      </c>
      <c r="W68" s="7" t="s">
        <v>75</v>
      </c>
      <c r="X68" s="5" t="s">
        <v>43</v>
      </c>
      <c r="Y68" s="5" t="s">
        <v>43</v>
      </c>
      <c r="Z68" s="5" t="s">
        <v>44</v>
      </c>
      <c r="AA68" s="5" t="s">
        <v>43</v>
      </c>
      <c r="AB68" s="5" t="s">
        <v>46</v>
      </c>
      <c r="AC68" s="5" t="s">
        <v>46</v>
      </c>
      <c r="AD68" s="5" t="s">
        <v>46</v>
      </c>
      <c r="AE68" s="5" t="s">
        <v>47</v>
      </c>
      <c r="AF68" s="5" t="s">
        <v>48</v>
      </c>
    </row>
    <row r="69" spans="1:32" ht="30" hidden="1" customHeight="1" x14ac:dyDescent="0.35">
      <c r="A69" s="5" t="s">
        <v>52</v>
      </c>
      <c r="B69" s="5" t="s">
        <v>67</v>
      </c>
      <c r="C69" s="5" t="s">
        <v>104</v>
      </c>
      <c r="D69" s="5" t="s">
        <v>34</v>
      </c>
      <c r="E69" s="6" t="s">
        <v>178</v>
      </c>
      <c r="F69" s="5" t="s">
        <v>35</v>
      </c>
      <c r="G69" s="5" t="s">
        <v>179</v>
      </c>
      <c r="H69" s="5" t="s">
        <v>73</v>
      </c>
      <c r="I69" s="5" t="s">
        <v>189</v>
      </c>
      <c r="J69" s="6">
        <v>6</v>
      </c>
      <c r="K69" s="6">
        <v>818</v>
      </c>
      <c r="L69" s="6"/>
      <c r="M69" s="5"/>
      <c r="N69" s="5"/>
      <c r="O69" s="5"/>
      <c r="P69" s="5" t="str">
        <f t="shared" si="0"/>
        <v>Not heterogeneous</v>
      </c>
      <c r="Q69" s="5">
        <v>46.17</v>
      </c>
      <c r="R69" s="5" t="str">
        <f t="shared" si="1"/>
        <v>insignificant</v>
      </c>
      <c r="S69" s="5">
        <v>0.44771699999999998</v>
      </c>
      <c r="T69" s="5"/>
      <c r="U69" s="5">
        <v>0.77939999999999998</v>
      </c>
      <c r="V69" s="7" t="s">
        <v>41</v>
      </c>
      <c r="W69" s="7" t="s">
        <v>75</v>
      </c>
      <c r="X69" s="5" t="s">
        <v>55</v>
      </c>
      <c r="Y69" s="5" t="s">
        <v>43</v>
      </c>
      <c r="Z69" s="5" t="s">
        <v>44</v>
      </c>
      <c r="AA69" s="5" t="s">
        <v>43</v>
      </c>
      <c r="AB69" s="5" t="s">
        <v>46</v>
      </c>
      <c r="AC69" s="5" t="s">
        <v>46</v>
      </c>
      <c r="AD69" s="5" t="s">
        <v>46</v>
      </c>
      <c r="AE69" s="5" t="s">
        <v>47</v>
      </c>
      <c r="AF69" s="5" t="s">
        <v>48</v>
      </c>
    </row>
    <row r="70" spans="1:32" ht="30" hidden="1" customHeight="1" x14ac:dyDescent="0.35">
      <c r="A70" s="5" t="s">
        <v>52</v>
      </c>
      <c r="B70" s="5" t="s">
        <v>67</v>
      </c>
      <c r="C70" s="5" t="s">
        <v>68</v>
      </c>
      <c r="D70" s="5" t="s">
        <v>34</v>
      </c>
      <c r="E70" s="6" t="s">
        <v>178</v>
      </c>
      <c r="F70" s="5" t="s">
        <v>35</v>
      </c>
      <c r="G70" s="5" t="s">
        <v>179</v>
      </c>
      <c r="H70" s="5" t="s">
        <v>73</v>
      </c>
      <c r="I70" s="5" t="s">
        <v>190</v>
      </c>
      <c r="J70" s="5">
        <v>8</v>
      </c>
      <c r="K70" s="5"/>
      <c r="L70" s="5"/>
      <c r="M70" s="5"/>
      <c r="N70" s="5"/>
      <c r="O70" s="5">
        <v>957</v>
      </c>
      <c r="P70" s="5" t="str">
        <f t="shared" si="0"/>
        <v>Heterogeneous</v>
      </c>
      <c r="Q70" s="5" t="s">
        <v>86</v>
      </c>
      <c r="R70" s="5" t="str">
        <f t="shared" si="1"/>
        <v>insignificant</v>
      </c>
      <c r="S70" s="5">
        <v>1</v>
      </c>
      <c r="T70" s="5"/>
      <c r="U70" s="5">
        <v>0.91990000000000005</v>
      </c>
      <c r="V70" s="7" t="s">
        <v>41</v>
      </c>
      <c r="W70" s="7" t="s">
        <v>75</v>
      </c>
      <c r="X70" s="5" t="s">
        <v>43</v>
      </c>
      <c r="Y70" s="5" t="s">
        <v>43</v>
      </c>
      <c r="Z70" s="5" t="s">
        <v>44</v>
      </c>
      <c r="AA70" s="5" t="s">
        <v>43</v>
      </c>
      <c r="AB70" s="5" t="s">
        <v>46</v>
      </c>
      <c r="AC70" s="5" t="s">
        <v>46</v>
      </c>
      <c r="AD70" s="5" t="s">
        <v>46</v>
      </c>
      <c r="AE70" s="5" t="s">
        <v>47</v>
      </c>
      <c r="AF70" s="5" t="s">
        <v>48</v>
      </c>
    </row>
    <row r="71" spans="1:32" ht="30" hidden="1" customHeight="1" x14ac:dyDescent="0.35">
      <c r="A71" s="5" t="s">
        <v>52</v>
      </c>
      <c r="B71" s="5" t="s">
        <v>67</v>
      </c>
      <c r="C71" s="5" t="s">
        <v>81</v>
      </c>
      <c r="D71" s="5" t="s">
        <v>34</v>
      </c>
      <c r="E71" s="6" t="s">
        <v>178</v>
      </c>
      <c r="F71" s="5" t="s">
        <v>35</v>
      </c>
      <c r="G71" s="5" t="s">
        <v>179</v>
      </c>
      <c r="H71" s="5" t="s">
        <v>73</v>
      </c>
      <c r="I71" s="5" t="s">
        <v>191</v>
      </c>
      <c r="J71" s="5">
        <v>8</v>
      </c>
      <c r="K71" s="5"/>
      <c r="L71" s="5"/>
      <c r="M71" s="5">
        <v>1159</v>
      </c>
      <c r="N71" s="5"/>
      <c r="O71" s="5"/>
      <c r="P71" s="5" t="str">
        <f t="shared" si="0"/>
        <v>Heterogeneous</v>
      </c>
      <c r="Q71" s="5" t="s">
        <v>192</v>
      </c>
      <c r="R71" s="5" t="str">
        <f t="shared" si="1"/>
        <v>insignificant</v>
      </c>
      <c r="S71" s="5">
        <v>7.3817999999999995E-2</v>
      </c>
      <c r="T71" s="5"/>
      <c r="U71" s="5">
        <v>0.68530000000000002</v>
      </c>
      <c r="V71" s="7" t="s">
        <v>41</v>
      </c>
      <c r="W71" s="7" t="s">
        <v>75</v>
      </c>
      <c r="X71" s="5" t="s">
        <v>43</v>
      </c>
      <c r="Y71" s="5" t="s">
        <v>43</v>
      </c>
      <c r="Z71" s="5" t="s">
        <v>44</v>
      </c>
      <c r="AA71" s="5" t="s">
        <v>43</v>
      </c>
      <c r="AB71" s="5" t="s">
        <v>46</v>
      </c>
      <c r="AC71" s="5" t="s">
        <v>46</v>
      </c>
      <c r="AD71" s="5" t="s">
        <v>46</v>
      </c>
      <c r="AE71" s="5" t="s">
        <v>47</v>
      </c>
      <c r="AF71" s="5" t="s">
        <v>66</v>
      </c>
    </row>
    <row r="72" spans="1:32" ht="30" hidden="1" customHeight="1" x14ac:dyDescent="0.35">
      <c r="A72" s="5" t="s">
        <v>58</v>
      </c>
      <c r="B72" s="5" t="s">
        <v>67</v>
      </c>
      <c r="C72" s="5" t="s">
        <v>81</v>
      </c>
      <c r="D72" s="5" t="s">
        <v>34</v>
      </c>
      <c r="E72" s="6" t="s">
        <v>178</v>
      </c>
      <c r="F72" s="5" t="s">
        <v>35</v>
      </c>
      <c r="G72" s="5" t="s">
        <v>179</v>
      </c>
      <c r="H72" s="5" t="s">
        <v>73</v>
      </c>
      <c r="I72" s="5" t="s">
        <v>193</v>
      </c>
      <c r="J72" s="6">
        <v>9</v>
      </c>
      <c r="K72" s="5"/>
      <c r="L72" s="6"/>
      <c r="M72" s="6">
        <f>85+8+101+49+55+25+800+49+262+49</f>
        <v>1483</v>
      </c>
      <c r="N72" s="5"/>
      <c r="O72" s="5"/>
      <c r="P72" s="5" t="str">
        <f t="shared" si="0"/>
        <v>Not heterogeneous</v>
      </c>
      <c r="Q72" s="5">
        <v>49.98</v>
      </c>
      <c r="R72" s="5" t="str">
        <f t="shared" si="1"/>
        <v>insignificant</v>
      </c>
      <c r="S72" s="5">
        <v>0.89630299999999996</v>
      </c>
      <c r="T72" s="5"/>
      <c r="U72" s="5">
        <v>0.8367</v>
      </c>
      <c r="V72" s="7" t="s">
        <v>41</v>
      </c>
      <c r="W72" s="7" t="s">
        <v>75</v>
      </c>
      <c r="X72" s="5" t="s">
        <v>55</v>
      </c>
      <c r="Y72" s="5" t="s">
        <v>43</v>
      </c>
      <c r="Z72" s="5" t="s">
        <v>44</v>
      </c>
      <c r="AA72" s="5" t="s">
        <v>43</v>
      </c>
      <c r="AB72" s="5" t="s">
        <v>46</v>
      </c>
      <c r="AC72" s="5" t="s">
        <v>46</v>
      </c>
      <c r="AD72" s="5" t="s">
        <v>46</v>
      </c>
      <c r="AE72" s="5" t="s">
        <v>47</v>
      </c>
      <c r="AF72" s="5" t="s">
        <v>48</v>
      </c>
    </row>
    <row r="73" spans="1:32" ht="30" hidden="1" customHeight="1" x14ac:dyDescent="0.35">
      <c r="A73" s="5" t="s">
        <v>58</v>
      </c>
      <c r="B73" s="5" t="s">
        <v>67</v>
      </c>
      <c r="C73" s="5" t="s">
        <v>68</v>
      </c>
      <c r="D73" s="5" t="s">
        <v>34</v>
      </c>
      <c r="E73" s="6" t="s">
        <v>178</v>
      </c>
      <c r="F73" s="5" t="s">
        <v>35</v>
      </c>
      <c r="G73" s="5" t="s">
        <v>179</v>
      </c>
      <c r="H73" s="5" t="s">
        <v>73</v>
      </c>
      <c r="I73" s="5" t="s">
        <v>194</v>
      </c>
      <c r="J73" s="6">
        <v>7</v>
      </c>
      <c r="K73" s="5"/>
      <c r="L73" s="6"/>
      <c r="M73" s="6">
        <v>1423</v>
      </c>
      <c r="N73" s="5"/>
      <c r="O73" s="5"/>
      <c r="P73" s="5" t="str">
        <f t="shared" si="0"/>
        <v>Heterogeneous</v>
      </c>
      <c r="Q73" s="5">
        <v>77.34</v>
      </c>
      <c r="R73" s="5" t="str">
        <f t="shared" si="1"/>
        <v>insignificant</v>
      </c>
      <c r="S73" s="5">
        <v>0.27392499999999997</v>
      </c>
      <c r="T73" s="5"/>
      <c r="U73" s="5">
        <v>0.76490000000000002</v>
      </c>
      <c r="V73" s="7" t="s">
        <v>41</v>
      </c>
      <c r="W73" s="7" t="s">
        <v>75</v>
      </c>
      <c r="X73" s="5" t="s">
        <v>42</v>
      </c>
      <c r="Y73" s="5" t="s">
        <v>43</v>
      </c>
      <c r="Z73" s="5" t="s">
        <v>44</v>
      </c>
      <c r="AA73" s="5" t="s">
        <v>43</v>
      </c>
      <c r="AB73" s="5" t="s">
        <v>46</v>
      </c>
      <c r="AC73" s="5" t="s">
        <v>46</v>
      </c>
      <c r="AD73" s="5" t="s">
        <v>46</v>
      </c>
      <c r="AE73" s="5" t="s">
        <v>47</v>
      </c>
      <c r="AF73" s="5" t="s">
        <v>48</v>
      </c>
    </row>
    <row r="74" spans="1:32" ht="30" hidden="1" customHeight="1" x14ac:dyDescent="0.35">
      <c r="A74" s="5" t="s">
        <v>58</v>
      </c>
      <c r="B74" s="5" t="s">
        <v>67</v>
      </c>
      <c r="C74" s="5" t="s">
        <v>104</v>
      </c>
      <c r="D74" s="5" t="s">
        <v>34</v>
      </c>
      <c r="E74" s="6" t="s">
        <v>178</v>
      </c>
      <c r="F74" s="5" t="s">
        <v>35</v>
      </c>
      <c r="G74" s="5" t="s">
        <v>179</v>
      </c>
      <c r="H74" s="5" t="s">
        <v>73</v>
      </c>
      <c r="I74" s="5" t="s">
        <v>195</v>
      </c>
      <c r="J74" s="6">
        <v>10</v>
      </c>
      <c r="K74" s="5"/>
      <c r="L74" s="6"/>
      <c r="M74" s="6">
        <v>1502</v>
      </c>
      <c r="N74" s="5"/>
      <c r="O74" s="5"/>
      <c r="P74" s="5" t="str">
        <f t="shared" si="0"/>
        <v>Heterogeneous</v>
      </c>
      <c r="Q74" s="5">
        <v>66.38</v>
      </c>
      <c r="R74" s="5" t="str">
        <f t="shared" si="1"/>
        <v>insignificant</v>
      </c>
      <c r="S74" s="5">
        <v>0.59414999999999996</v>
      </c>
      <c r="T74" s="5"/>
      <c r="U74" s="5">
        <v>0.68989999999999996</v>
      </c>
      <c r="V74" s="7" t="s">
        <v>41</v>
      </c>
      <c r="W74" s="7" t="s">
        <v>75</v>
      </c>
      <c r="X74" s="5" t="s">
        <v>42</v>
      </c>
      <c r="Y74" s="5" t="s">
        <v>43</v>
      </c>
      <c r="Z74" s="5" t="s">
        <v>44</v>
      </c>
      <c r="AA74" s="5" t="s">
        <v>43</v>
      </c>
      <c r="AB74" s="5" t="s">
        <v>46</v>
      </c>
      <c r="AC74" s="5" t="s">
        <v>46</v>
      </c>
      <c r="AD74" s="5" t="s">
        <v>46</v>
      </c>
      <c r="AE74" s="5" t="s">
        <v>47</v>
      </c>
      <c r="AF74" s="5" t="s">
        <v>66</v>
      </c>
    </row>
    <row r="75" spans="1:32" ht="30" customHeight="1" x14ac:dyDescent="0.35">
      <c r="A75" s="5" t="s">
        <v>52</v>
      </c>
      <c r="B75" s="5" t="s">
        <v>33</v>
      </c>
      <c r="C75" s="5"/>
      <c r="D75" s="5" t="s">
        <v>34</v>
      </c>
      <c r="E75" s="6" t="s">
        <v>178</v>
      </c>
      <c r="F75" s="5" t="s">
        <v>35</v>
      </c>
      <c r="G75" s="5" t="s">
        <v>179</v>
      </c>
      <c r="H75" s="5" t="s">
        <v>73</v>
      </c>
      <c r="I75" s="5" t="s">
        <v>196</v>
      </c>
      <c r="J75" s="5">
        <v>10</v>
      </c>
      <c r="K75" s="5">
        <v>2990</v>
      </c>
      <c r="L75" s="5"/>
      <c r="M75" s="5"/>
      <c r="N75" s="5"/>
      <c r="O75" s="5"/>
      <c r="P75" s="5" t="str">
        <f t="shared" si="0"/>
        <v>Not heterogeneous</v>
      </c>
      <c r="Q75" s="5">
        <v>29.21</v>
      </c>
      <c r="R75" s="5" t="str">
        <f t="shared" si="1"/>
        <v>insignificant</v>
      </c>
      <c r="S75" s="5">
        <v>0.11</v>
      </c>
      <c r="T75" s="5">
        <v>0.43</v>
      </c>
      <c r="U75" s="5">
        <v>0.96150000000000002</v>
      </c>
      <c r="V75" s="7" t="s">
        <v>41</v>
      </c>
      <c r="W75" s="7" t="s">
        <v>75</v>
      </c>
      <c r="X75" s="5" t="s">
        <v>55</v>
      </c>
      <c r="Y75" s="5" t="s">
        <v>43</v>
      </c>
      <c r="Z75" s="5" t="s">
        <v>44</v>
      </c>
      <c r="AA75" s="5" t="s">
        <v>43</v>
      </c>
      <c r="AB75" s="5" t="s">
        <v>46</v>
      </c>
      <c r="AC75" s="5" t="s">
        <v>46</v>
      </c>
      <c r="AD75" s="5" t="s">
        <v>46</v>
      </c>
      <c r="AE75" s="5" t="s">
        <v>47</v>
      </c>
      <c r="AF75" s="5" t="s">
        <v>48</v>
      </c>
    </row>
    <row r="76" spans="1:32" ht="30" hidden="1" customHeight="1" x14ac:dyDescent="0.35">
      <c r="A76" s="5" t="s">
        <v>52</v>
      </c>
      <c r="B76" s="5" t="s">
        <v>49</v>
      </c>
      <c r="C76" s="5" t="s">
        <v>151</v>
      </c>
      <c r="D76" s="5" t="s">
        <v>34</v>
      </c>
      <c r="E76" s="6" t="s">
        <v>178</v>
      </c>
      <c r="F76" s="5" t="s">
        <v>35</v>
      </c>
      <c r="G76" s="5" t="s">
        <v>179</v>
      </c>
      <c r="H76" s="5" t="s">
        <v>73</v>
      </c>
      <c r="I76" s="5" t="s">
        <v>197</v>
      </c>
      <c r="J76" s="5">
        <v>3</v>
      </c>
      <c r="K76" s="5">
        <v>1089</v>
      </c>
      <c r="L76" s="5"/>
      <c r="M76" s="5"/>
      <c r="N76" s="5"/>
      <c r="O76" s="5"/>
      <c r="P76" s="5" t="str">
        <f t="shared" si="0"/>
        <v>Heterogeneous</v>
      </c>
      <c r="Q76" s="5">
        <v>58.62</v>
      </c>
      <c r="R76" s="5" t="str">
        <f t="shared" si="1"/>
        <v>insignificant</v>
      </c>
      <c r="S76" s="5">
        <v>0.48</v>
      </c>
      <c r="T76" s="5"/>
      <c r="U76" s="5">
        <v>0.38879999999999998</v>
      </c>
      <c r="V76" s="7" t="s">
        <v>41</v>
      </c>
      <c r="W76" s="7" t="s">
        <v>75</v>
      </c>
      <c r="X76" s="5" t="s">
        <v>42</v>
      </c>
      <c r="Y76" s="5" t="s">
        <v>43</v>
      </c>
      <c r="Z76" s="5" t="s">
        <v>44</v>
      </c>
      <c r="AA76" s="5" t="s">
        <v>43</v>
      </c>
      <c r="AB76" s="5" t="s">
        <v>46</v>
      </c>
      <c r="AC76" s="5" t="s">
        <v>46</v>
      </c>
      <c r="AD76" s="5" t="s">
        <v>46</v>
      </c>
      <c r="AE76" s="5" t="s">
        <v>47</v>
      </c>
      <c r="AF76" s="5" t="s">
        <v>48</v>
      </c>
    </row>
    <row r="77" spans="1:32" ht="30" hidden="1" customHeight="1" x14ac:dyDescent="0.35">
      <c r="A77" s="5" t="s">
        <v>61</v>
      </c>
      <c r="B77" s="5" t="s">
        <v>67</v>
      </c>
      <c r="C77" s="5" t="s">
        <v>68</v>
      </c>
      <c r="D77" s="5" t="s">
        <v>34</v>
      </c>
      <c r="E77" s="6" t="s">
        <v>178</v>
      </c>
      <c r="F77" s="5" t="s">
        <v>35</v>
      </c>
      <c r="G77" s="5" t="s">
        <v>179</v>
      </c>
      <c r="H77" s="5" t="s">
        <v>73</v>
      </c>
      <c r="I77" s="5" t="s">
        <v>198</v>
      </c>
      <c r="J77" s="5">
        <v>8</v>
      </c>
      <c r="K77" s="5">
        <v>645</v>
      </c>
      <c r="L77" s="5"/>
      <c r="M77" s="5"/>
      <c r="N77" s="5"/>
      <c r="O77" s="5"/>
      <c r="P77" s="5" t="str">
        <f t="shared" si="0"/>
        <v>Heterogeneous</v>
      </c>
      <c r="Q77" s="5">
        <v>64.78</v>
      </c>
      <c r="R77" s="5" t="str">
        <f t="shared" si="1"/>
        <v>significant</v>
      </c>
      <c r="S77" s="5">
        <v>4.8779000000000003E-2</v>
      </c>
      <c r="T77" s="5"/>
      <c r="U77" s="5">
        <v>0.66590000000000005</v>
      </c>
      <c r="V77" s="7" t="s">
        <v>41</v>
      </c>
      <c r="W77" s="7" t="s">
        <v>75</v>
      </c>
      <c r="X77" s="5" t="s">
        <v>42</v>
      </c>
      <c r="Y77" s="5" t="s">
        <v>43</v>
      </c>
      <c r="Z77" s="5" t="s">
        <v>56</v>
      </c>
      <c r="AA77" s="5" t="s">
        <v>43</v>
      </c>
      <c r="AB77" s="5" t="s">
        <v>46</v>
      </c>
      <c r="AC77" s="5" t="s">
        <v>46</v>
      </c>
      <c r="AD77" s="5" t="s">
        <v>46</v>
      </c>
      <c r="AE77" s="5" t="s">
        <v>47</v>
      </c>
      <c r="AF77" s="5" t="s">
        <v>48</v>
      </c>
    </row>
    <row r="78" spans="1:32" ht="30" hidden="1" customHeight="1" x14ac:dyDescent="0.35">
      <c r="A78" s="5" t="s">
        <v>186</v>
      </c>
      <c r="B78" s="5" t="s">
        <v>67</v>
      </c>
      <c r="C78" s="5" t="s">
        <v>90</v>
      </c>
      <c r="D78" s="5" t="s">
        <v>34</v>
      </c>
      <c r="E78" s="6" t="s">
        <v>178</v>
      </c>
      <c r="F78" s="5" t="s">
        <v>35</v>
      </c>
      <c r="G78" s="5" t="s">
        <v>179</v>
      </c>
      <c r="H78" s="5" t="s">
        <v>73</v>
      </c>
      <c r="I78" s="5" t="s">
        <v>199</v>
      </c>
      <c r="J78" s="5">
        <v>4</v>
      </c>
      <c r="K78" s="5">
        <v>30</v>
      </c>
      <c r="L78" s="5"/>
      <c r="M78" s="5"/>
      <c r="N78" s="5"/>
      <c r="O78" s="5"/>
      <c r="P78" s="5" t="str">
        <f t="shared" si="0"/>
        <v>Heterogeneous</v>
      </c>
      <c r="Q78" s="5" t="s">
        <v>86</v>
      </c>
      <c r="R78" s="5" t="str">
        <f t="shared" si="1"/>
        <v>insignificant</v>
      </c>
      <c r="S78" s="5">
        <v>0.22092500000000001</v>
      </c>
      <c r="T78" s="5"/>
      <c r="U78" s="5">
        <v>0.21479999999999999</v>
      </c>
      <c r="V78" s="7" t="s">
        <v>41</v>
      </c>
      <c r="W78" s="7" t="s">
        <v>75</v>
      </c>
      <c r="X78" s="5" t="s">
        <v>43</v>
      </c>
      <c r="Y78" s="5" t="s">
        <v>43</v>
      </c>
      <c r="Z78" s="5" t="s">
        <v>44</v>
      </c>
      <c r="AA78" s="5" t="s">
        <v>43</v>
      </c>
      <c r="AB78" s="5" t="s">
        <v>46</v>
      </c>
      <c r="AC78" s="5" t="s">
        <v>46</v>
      </c>
      <c r="AD78" s="5" t="s">
        <v>46</v>
      </c>
      <c r="AE78" s="5" t="s">
        <v>47</v>
      </c>
      <c r="AF78" s="5" t="s">
        <v>48</v>
      </c>
    </row>
    <row r="79" spans="1:32" ht="30" hidden="1" customHeight="1" x14ac:dyDescent="0.35">
      <c r="A79" s="5" t="s">
        <v>58</v>
      </c>
      <c r="B79" s="5" t="s">
        <v>49</v>
      </c>
      <c r="C79" s="5" t="s">
        <v>151</v>
      </c>
      <c r="D79" s="5" t="s">
        <v>34</v>
      </c>
      <c r="E79" s="6" t="s">
        <v>178</v>
      </c>
      <c r="F79" s="5" t="s">
        <v>35</v>
      </c>
      <c r="G79" s="5" t="s">
        <v>179</v>
      </c>
      <c r="H79" s="5" t="s">
        <v>73</v>
      </c>
      <c r="I79" s="5" t="s">
        <v>200</v>
      </c>
      <c r="J79" s="5">
        <v>3</v>
      </c>
      <c r="K79" s="5">
        <v>1022</v>
      </c>
      <c r="L79" s="5"/>
      <c r="M79" s="5"/>
      <c r="N79" s="5"/>
      <c r="O79" s="5"/>
      <c r="P79" s="5" t="str">
        <f t="shared" si="0"/>
        <v>Heterogeneous</v>
      </c>
      <c r="Q79" s="5">
        <v>74.400000000000006</v>
      </c>
      <c r="R79" s="5" t="str">
        <f t="shared" si="1"/>
        <v>insignificant</v>
      </c>
      <c r="S79" s="5">
        <v>0.81</v>
      </c>
      <c r="T79" s="5"/>
      <c r="U79" s="5">
        <v>0.21479999999999999</v>
      </c>
      <c r="V79" s="7" t="s">
        <v>41</v>
      </c>
      <c r="W79" s="7" t="s">
        <v>75</v>
      </c>
      <c r="X79" s="5" t="s">
        <v>42</v>
      </c>
      <c r="Y79" s="5" t="s">
        <v>43</v>
      </c>
      <c r="Z79" s="5" t="s">
        <v>44</v>
      </c>
      <c r="AA79" s="5" t="s">
        <v>43</v>
      </c>
      <c r="AB79" s="5" t="s">
        <v>46</v>
      </c>
      <c r="AC79" s="5" t="s">
        <v>46</v>
      </c>
      <c r="AD79" s="5" t="s">
        <v>46</v>
      </c>
      <c r="AE79" s="5" t="s">
        <v>47</v>
      </c>
      <c r="AF79" s="5" t="s">
        <v>48</v>
      </c>
    </row>
    <row r="80" spans="1:32" ht="30" customHeight="1" x14ac:dyDescent="0.35">
      <c r="A80" s="5" t="s">
        <v>61</v>
      </c>
      <c r="B80" s="5" t="s">
        <v>33</v>
      </c>
      <c r="C80" s="5"/>
      <c r="D80" s="5" t="s">
        <v>34</v>
      </c>
      <c r="E80" s="6" t="s">
        <v>178</v>
      </c>
      <c r="F80" s="5" t="s">
        <v>35</v>
      </c>
      <c r="G80" s="5" t="s">
        <v>179</v>
      </c>
      <c r="H80" s="5" t="s">
        <v>73</v>
      </c>
      <c r="I80" s="5" t="s">
        <v>201</v>
      </c>
      <c r="J80" s="5">
        <v>11</v>
      </c>
      <c r="K80" s="5"/>
      <c r="L80" s="5"/>
      <c r="M80" s="5">
        <v>1614</v>
      </c>
      <c r="N80" s="5"/>
      <c r="O80" s="5"/>
      <c r="P80" s="5" t="str">
        <f t="shared" si="0"/>
        <v>Heterogeneous</v>
      </c>
      <c r="Q80" s="5">
        <v>51.21</v>
      </c>
      <c r="R80" s="5" t="str">
        <f t="shared" si="1"/>
        <v>insignificant</v>
      </c>
      <c r="S80" s="5">
        <v>0.8</v>
      </c>
      <c r="T80" s="5">
        <v>0.03</v>
      </c>
      <c r="U80" s="5">
        <v>0.34329999999999999</v>
      </c>
      <c r="V80" s="7" t="s">
        <v>41</v>
      </c>
      <c r="W80" s="7" t="s">
        <v>75</v>
      </c>
      <c r="X80" s="5" t="s">
        <v>42</v>
      </c>
      <c r="Y80" s="5" t="s">
        <v>43</v>
      </c>
      <c r="Z80" s="5" t="s">
        <v>44</v>
      </c>
      <c r="AA80" s="5" t="s">
        <v>43</v>
      </c>
      <c r="AB80" s="5" t="s">
        <v>46</v>
      </c>
      <c r="AC80" s="5" t="s">
        <v>46</v>
      </c>
      <c r="AD80" s="5" t="s">
        <v>46</v>
      </c>
      <c r="AE80" s="5" t="s">
        <v>47</v>
      </c>
      <c r="AF80" s="5" t="s">
        <v>48</v>
      </c>
    </row>
    <row r="81" spans="1:32" ht="30" customHeight="1" x14ac:dyDescent="0.35">
      <c r="A81" s="5" t="s">
        <v>58</v>
      </c>
      <c r="B81" s="5" t="s">
        <v>33</v>
      </c>
      <c r="C81" s="5"/>
      <c r="D81" s="5" t="s">
        <v>34</v>
      </c>
      <c r="E81" s="6" t="s">
        <v>178</v>
      </c>
      <c r="F81" s="5" t="s">
        <v>35</v>
      </c>
      <c r="G81" s="5" t="s">
        <v>179</v>
      </c>
      <c r="H81" s="5" t="s">
        <v>73</v>
      </c>
      <c r="I81" s="5" t="s">
        <v>202</v>
      </c>
      <c r="J81" s="5">
        <v>13</v>
      </c>
      <c r="K81" s="5"/>
      <c r="L81" s="5"/>
      <c r="M81" s="5">
        <v>4630</v>
      </c>
      <c r="N81" s="5"/>
      <c r="O81" s="5"/>
      <c r="P81" s="5" t="str">
        <f t="shared" si="0"/>
        <v>Heterogeneous</v>
      </c>
      <c r="Q81" s="5">
        <v>61.76</v>
      </c>
      <c r="R81" s="5" t="str">
        <f t="shared" si="1"/>
        <v>insignificant</v>
      </c>
      <c r="S81" s="5">
        <v>0.93</v>
      </c>
      <c r="T81" s="5" t="s">
        <v>203</v>
      </c>
      <c r="U81" s="5">
        <v>0.53190000000000004</v>
      </c>
      <c r="V81" s="7" t="s">
        <v>41</v>
      </c>
      <c r="W81" s="7" t="s">
        <v>75</v>
      </c>
      <c r="X81" s="5" t="s">
        <v>42</v>
      </c>
      <c r="Y81" s="5" t="s">
        <v>43</v>
      </c>
      <c r="Z81" s="5" t="s">
        <v>44</v>
      </c>
      <c r="AA81" s="5" t="s">
        <v>43</v>
      </c>
      <c r="AB81" s="5" t="s">
        <v>46</v>
      </c>
      <c r="AC81" s="5" t="s">
        <v>46</v>
      </c>
      <c r="AD81" s="5" t="s">
        <v>46</v>
      </c>
      <c r="AE81" s="5" t="s">
        <v>47</v>
      </c>
      <c r="AF81" s="5" t="s">
        <v>48</v>
      </c>
    </row>
    <row r="82" spans="1:32" ht="30" customHeight="1" x14ac:dyDescent="0.35">
      <c r="A82" s="5" t="s">
        <v>182</v>
      </c>
      <c r="B82" s="5" t="s">
        <v>33</v>
      </c>
      <c r="C82" s="5"/>
      <c r="D82" s="5" t="s">
        <v>34</v>
      </c>
      <c r="E82" s="6" t="s">
        <v>178</v>
      </c>
      <c r="F82" s="5" t="s">
        <v>35</v>
      </c>
      <c r="G82" s="5" t="s">
        <v>179</v>
      </c>
      <c r="H82" s="5" t="s">
        <v>73</v>
      </c>
      <c r="I82" s="5" t="s">
        <v>204</v>
      </c>
      <c r="J82" s="5">
        <v>5</v>
      </c>
      <c r="K82" s="5">
        <v>466</v>
      </c>
      <c r="L82" s="5"/>
      <c r="M82" s="5"/>
      <c r="N82" s="5"/>
      <c r="O82" s="5"/>
      <c r="P82" s="5" t="str">
        <f t="shared" si="0"/>
        <v>Not heterogeneous</v>
      </c>
      <c r="Q82" s="5">
        <v>44.8</v>
      </c>
      <c r="R82" s="5" t="str">
        <f t="shared" si="1"/>
        <v>insignificant</v>
      </c>
      <c r="S82" s="5">
        <v>0.12</v>
      </c>
      <c r="T82" s="5">
        <v>0.14000000000000001</v>
      </c>
      <c r="U82" s="5">
        <v>0.13900000000000001</v>
      </c>
      <c r="V82" s="7" t="s">
        <v>41</v>
      </c>
      <c r="W82" s="7" t="s">
        <v>75</v>
      </c>
      <c r="X82" s="5" t="s">
        <v>55</v>
      </c>
      <c r="Y82" s="5" t="s">
        <v>43</v>
      </c>
      <c r="Z82" s="5" t="s">
        <v>44</v>
      </c>
      <c r="AA82" s="5" t="s">
        <v>43</v>
      </c>
      <c r="AB82" s="5" t="s">
        <v>46</v>
      </c>
      <c r="AC82" s="5" t="s">
        <v>46</v>
      </c>
      <c r="AD82" s="5" t="s">
        <v>46</v>
      </c>
      <c r="AE82" s="5" t="s">
        <v>47</v>
      </c>
      <c r="AF82" s="5" t="s">
        <v>48</v>
      </c>
    </row>
    <row r="83" spans="1:32" ht="30" customHeight="1" x14ac:dyDescent="0.35">
      <c r="A83" s="5" t="s">
        <v>186</v>
      </c>
      <c r="B83" s="5" t="s">
        <v>33</v>
      </c>
      <c r="C83" s="5"/>
      <c r="D83" s="5" t="s">
        <v>34</v>
      </c>
      <c r="E83" s="6" t="s">
        <v>178</v>
      </c>
      <c r="F83" s="5" t="s">
        <v>35</v>
      </c>
      <c r="G83" s="5" t="s">
        <v>179</v>
      </c>
      <c r="H83" s="5" t="s">
        <v>73</v>
      </c>
      <c r="I83" s="5" t="s">
        <v>205</v>
      </c>
      <c r="J83" s="5">
        <v>8</v>
      </c>
      <c r="K83" s="5">
        <v>611</v>
      </c>
      <c r="L83" s="5"/>
      <c r="M83" s="5"/>
      <c r="N83" s="5"/>
      <c r="O83" s="5"/>
      <c r="P83" s="5" t="str">
        <f t="shared" si="0"/>
        <v>Heterogeneous</v>
      </c>
      <c r="Q83" s="5" t="s">
        <v>86</v>
      </c>
      <c r="R83" s="5" t="str">
        <f t="shared" si="1"/>
        <v>insignificant</v>
      </c>
      <c r="S83" s="5">
        <v>0.22</v>
      </c>
      <c r="T83" s="5">
        <v>0.97</v>
      </c>
      <c r="U83" s="5">
        <v>0.69099999999999995</v>
      </c>
      <c r="V83" s="7" t="s">
        <v>41</v>
      </c>
      <c r="W83" s="7" t="s">
        <v>75</v>
      </c>
      <c r="X83" s="5" t="s">
        <v>43</v>
      </c>
      <c r="Y83" s="5" t="s">
        <v>43</v>
      </c>
      <c r="Z83" s="5" t="s">
        <v>44</v>
      </c>
      <c r="AA83" s="5" t="s">
        <v>43</v>
      </c>
      <c r="AB83" s="5" t="s">
        <v>46</v>
      </c>
      <c r="AC83" s="5" t="s">
        <v>46</v>
      </c>
      <c r="AD83" s="5" t="s">
        <v>46</v>
      </c>
      <c r="AE83" s="5" t="s">
        <v>47</v>
      </c>
      <c r="AF83" s="5" t="s">
        <v>48</v>
      </c>
    </row>
    <row r="84" spans="1:32" ht="30" hidden="1" customHeight="1" x14ac:dyDescent="0.35">
      <c r="A84" s="5" t="s">
        <v>61</v>
      </c>
      <c r="B84" s="5" t="s">
        <v>49</v>
      </c>
      <c r="C84" s="5" t="s">
        <v>151</v>
      </c>
      <c r="D84" s="5" t="s">
        <v>34</v>
      </c>
      <c r="E84" s="6" t="s">
        <v>178</v>
      </c>
      <c r="F84" s="5" t="s">
        <v>35</v>
      </c>
      <c r="G84" s="5" t="s">
        <v>179</v>
      </c>
      <c r="H84" s="5" t="s">
        <v>73</v>
      </c>
      <c r="I84" s="5" t="s">
        <v>206</v>
      </c>
      <c r="J84" s="5">
        <v>4</v>
      </c>
      <c r="K84" s="5">
        <v>716</v>
      </c>
      <c r="L84" s="5"/>
      <c r="M84" s="5"/>
      <c r="N84" s="5"/>
      <c r="O84" s="5"/>
      <c r="P84" s="5" t="str">
        <f t="shared" si="0"/>
        <v>Heterogeneous</v>
      </c>
      <c r="Q84" s="5">
        <v>63.25</v>
      </c>
      <c r="R84" s="5" t="str">
        <f t="shared" si="1"/>
        <v>insignificant</v>
      </c>
      <c r="S84" s="5">
        <v>0.38</v>
      </c>
      <c r="T84" s="5"/>
      <c r="U84" s="5">
        <v>0.61529999999999996</v>
      </c>
      <c r="V84" s="7" t="s">
        <v>41</v>
      </c>
      <c r="W84" s="7" t="s">
        <v>75</v>
      </c>
      <c r="X84" s="5" t="s">
        <v>42</v>
      </c>
      <c r="Y84" s="5" t="s">
        <v>43</v>
      </c>
      <c r="Z84" s="5" t="s">
        <v>44</v>
      </c>
      <c r="AA84" s="5" t="s">
        <v>43</v>
      </c>
      <c r="AB84" s="5" t="s">
        <v>46</v>
      </c>
      <c r="AC84" s="5" t="s">
        <v>46</v>
      </c>
      <c r="AD84" s="5" t="s">
        <v>46</v>
      </c>
      <c r="AE84" s="5" t="s">
        <v>47</v>
      </c>
      <c r="AF84" s="5" t="s">
        <v>48</v>
      </c>
    </row>
    <row r="85" spans="1:32" ht="30" customHeight="1" x14ac:dyDescent="0.35">
      <c r="A85" s="14" t="s">
        <v>207</v>
      </c>
      <c r="B85" s="14" t="s">
        <v>33</v>
      </c>
      <c r="C85" s="14"/>
      <c r="D85" s="14" t="s">
        <v>34</v>
      </c>
      <c r="E85" s="15" t="s">
        <v>178</v>
      </c>
      <c r="F85" s="14" t="s">
        <v>35</v>
      </c>
      <c r="G85" s="14" t="s">
        <v>208</v>
      </c>
      <c r="H85" s="14" t="s">
        <v>73</v>
      </c>
      <c r="I85" s="14" t="s">
        <v>102</v>
      </c>
      <c r="J85" s="14">
        <v>4</v>
      </c>
      <c r="K85" s="14">
        <f>351+478+35+674</f>
        <v>1538</v>
      </c>
      <c r="L85" s="14"/>
      <c r="M85" s="14"/>
      <c r="N85" s="14"/>
      <c r="O85" s="14"/>
      <c r="P85" s="5" t="str">
        <f t="shared" si="0"/>
        <v>Not heterogeneous</v>
      </c>
      <c r="Q85" s="14">
        <v>0</v>
      </c>
      <c r="R85" s="14" t="s">
        <v>209</v>
      </c>
      <c r="S85" s="14">
        <v>0.18</v>
      </c>
      <c r="T85" s="14">
        <v>0.17</v>
      </c>
      <c r="U85" s="14"/>
      <c r="V85" s="16" t="s">
        <v>41</v>
      </c>
      <c r="W85" s="16" t="s">
        <v>75</v>
      </c>
      <c r="X85" s="14" t="str">
        <f t="shared" ref="X85:X89" si="3">IF(ISNUMBER(Q85),
    IF(IF(Q85&lt;=1,Q85*100,Q85)&gt;=50,"Serious",
        IF(IF(Q85&lt;=1,Q85*100,Q85)&lt;=25,"No concerns","Some concerns")
    ),
    IF(ISNUMBER(S85),
        IF(S85&lt;0.001,"Serious",
            IF(S85&lt;0.05,"Some concerns","No concerns")
        ),
        "Uncertain"
    )
)</f>
        <v>No concerns</v>
      </c>
      <c r="Y85" s="14" t="s">
        <v>43</v>
      </c>
      <c r="Z85" s="14" t="s">
        <v>44</v>
      </c>
      <c r="AA85" s="14" t="s">
        <v>43</v>
      </c>
      <c r="AB85" s="14" t="s">
        <v>46</v>
      </c>
      <c r="AC85" s="14" t="s">
        <v>46</v>
      </c>
      <c r="AD85" s="14" t="s">
        <v>46</v>
      </c>
      <c r="AE85" s="14" t="s">
        <v>47</v>
      </c>
      <c r="AF85" s="14" t="s">
        <v>48</v>
      </c>
    </row>
    <row r="86" spans="1:32" ht="30" hidden="1" customHeight="1" x14ac:dyDescent="0.35">
      <c r="A86" s="14" t="s">
        <v>207</v>
      </c>
      <c r="B86" s="14" t="s">
        <v>67</v>
      </c>
      <c r="C86" s="14" t="s">
        <v>90</v>
      </c>
      <c r="D86" s="14" t="s">
        <v>34</v>
      </c>
      <c r="E86" s="15" t="s">
        <v>178</v>
      </c>
      <c r="F86" s="14" t="s">
        <v>35</v>
      </c>
      <c r="G86" s="14" t="s">
        <v>208</v>
      </c>
      <c r="H86" s="14" t="s">
        <v>73</v>
      </c>
      <c r="I86" s="14" t="s">
        <v>201</v>
      </c>
      <c r="J86" s="14">
        <v>3</v>
      </c>
      <c r="K86" s="14">
        <f>32+67+161</f>
        <v>260</v>
      </c>
      <c r="L86" s="14"/>
      <c r="M86" s="14"/>
      <c r="N86" s="14"/>
      <c r="O86" s="14"/>
      <c r="P86" s="5" t="str">
        <f t="shared" si="0"/>
        <v>Not heterogeneous</v>
      </c>
      <c r="Q86" s="14">
        <v>0</v>
      </c>
      <c r="R86" s="14" t="s">
        <v>209</v>
      </c>
      <c r="S86" s="14">
        <v>0.36</v>
      </c>
      <c r="T86" s="14">
        <v>0.51</v>
      </c>
      <c r="U86" s="14"/>
      <c r="V86" s="16" t="s">
        <v>41</v>
      </c>
      <c r="W86" s="16" t="s">
        <v>75</v>
      </c>
      <c r="X86" s="14" t="str">
        <f t="shared" si="3"/>
        <v>No concerns</v>
      </c>
      <c r="Y86" s="14" t="s">
        <v>43</v>
      </c>
      <c r="Z86" s="14" t="s">
        <v>44</v>
      </c>
      <c r="AA86" s="14" t="s">
        <v>43</v>
      </c>
      <c r="AB86" s="14" t="s">
        <v>46</v>
      </c>
      <c r="AC86" s="14" t="s">
        <v>46</v>
      </c>
      <c r="AD86" s="14" t="s">
        <v>46</v>
      </c>
      <c r="AE86" s="14" t="s">
        <v>47</v>
      </c>
      <c r="AF86" s="14" t="s">
        <v>48</v>
      </c>
    </row>
    <row r="87" spans="1:32" ht="30" customHeight="1" x14ac:dyDescent="0.35">
      <c r="A87" s="5" t="s">
        <v>210</v>
      </c>
      <c r="B87" s="5" t="s">
        <v>33</v>
      </c>
      <c r="C87" s="5"/>
      <c r="D87" s="14" t="s">
        <v>34</v>
      </c>
      <c r="E87" s="15" t="s">
        <v>178</v>
      </c>
      <c r="F87" s="14" t="s">
        <v>35</v>
      </c>
      <c r="G87" s="14" t="s">
        <v>208</v>
      </c>
      <c r="H87" s="14" t="s">
        <v>73</v>
      </c>
      <c r="I87" s="5" t="s">
        <v>211</v>
      </c>
      <c r="J87" s="5">
        <v>5</v>
      </c>
      <c r="K87" s="5">
        <f>120+1184+422+317+136</f>
        <v>2179</v>
      </c>
      <c r="L87" s="5"/>
      <c r="M87" s="5"/>
      <c r="N87" s="5"/>
      <c r="O87" s="5"/>
      <c r="P87" s="5" t="str">
        <f t="shared" si="0"/>
        <v>Not heterogeneous</v>
      </c>
      <c r="Q87" s="5">
        <v>0</v>
      </c>
      <c r="R87" s="14" t="s">
        <v>209</v>
      </c>
      <c r="S87" s="5">
        <v>0.77</v>
      </c>
      <c r="T87" s="5">
        <v>0.25</v>
      </c>
      <c r="U87" s="5"/>
      <c r="V87" s="7" t="s">
        <v>41</v>
      </c>
      <c r="W87" s="7" t="s">
        <v>75</v>
      </c>
      <c r="X87" s="14" t="str">
        <f t="shared" si="3"/>
        <v>No concerns</v>
      </c>
      <c r="Y87" s="5" t="s">
        <v>43</v>
      </c>
      <c r="Z87" s="5" t="s">
        <v>44</v>
      </c>
      <c r="AA87" s="5" t="s">
        <v>43</v>
      </c>
      <c r="AB87" s="5" t="s">
        <v>46</v>
      </c>
      <c r="AC87" s="5" t="s">
        <v>46</v>
      </c>
      <c r="AD87" s="5" t="s">
        <v>46</v>
      </c>
      <c r="AE87" s="5" t="s">
        <v>47</v>
      </c>
      <c r="AF87" s="5" t="s">
        <v>48</v>
      </c>
    </row>
    <row r="88" spans="1:32" ht="30" hidden="1" customHeight="1" x14ac:dyDescent="0.35">
      <c r="A88" s="5" t="s">
        <v>210</v>
      </c>
      <c r="B88" s="5" t="s">
        <v>67</v>
      </c>
      <c r="C88" s="14" t="s">
        <v>90</v>
      </c>
      <c r="D88" s="14" t="s">
        <v>34</v>
      </c>
      <c r="E88" s="15" t="s">
        <v>178</v>
      </c>
      <c r="F88" s="14" t="s">
        <v>35</v>
      </c>
      <c r="G88" s="14" t="s">
        <v>208</v>
      </c>
      <c r="H88" s="14" t="s">
        <v>73</v>
      </c>
      <c r="I88" s="5" t="s">
        <v>212</v>
      </c>
      <c r="J88" s="5">
        <v>4</v>
      </c>
      <c r="K88" s="5">
        <f>176+74+20+25</f>
        <v>295</v>
      </c>
      <c r="L88" s="5"/>
      <c r="M88" s="5"/>
      <c r="N88" s="5"/>
      <c r="O88" s="5"/>
      <c r="P88" s="5" t="str">
        <f t="shared" si="0"/>
        <v>Not heterogeneous</v>
      </c>
      <c r="Q88" s="5">
        <v>0</v>
      </c>
      <c r="R88" s="14" t="s">
        <v>209</v>
      </c>
      <c r="S88" s="5">
        <v>0.91</v>
      </c>
      <c r="T88" s="5">
        <v>0.7</v>
      </c>
      <c r="U88" s="5"/>
      <c r="V88" s="7" t="s">
        <v>41</v>
      </c>
      <c r="W88" s="7" t="s">
        <v>75</v>
      </c>
      <c r="X88" s="14" t="str">
        <f t="shared" si="3"/>
        <v>No concerns</v>
      </c>
      <c r="Y88" s="5" t="s">
        <v>43</v>
      </c>
      <c r="Z88" s="5" t="s">
        <v>44</v>
      </c>
      <c r="AA88" s="5" t="s">
        <v>43</v>
      </c>
      <c r="AB88" s="5" t="s">
        <v>46</v>
      </c>
      <c r="AC88" s="5" t="s">
        <v>46</v>
      </c>
      <c r="AD88" s="5" t="s">
        <v>46</v>
      </c>
      <c r="AE88" s="5" t="s">
        <v>47</v>
      </c>
      <c r="AF88" s="5" t="s">
        <v>48</v>
      </c>
    </row>
    <row r="89" spans="1:32" ht="30" customHeight="1" x14ac:dyDescent="0.35">
      <c r="A89" s="5" t="s">
        <v>79</v>
      </c>
      <c r="B89" s="5" t="s">
        <v>33</v>
      </c>
      <c r="C89" s="5"/>
      <c r="D89" s="14" t="s">
        <v>34</v>
      </c>
      <c r="E89" s="15" t="s">
        <v>178</v>
      </c>
      <c r="F89" s="14" t="s">
        <v>35</v>
      </c>
      <c r="G89" s="14" t="s">
        <v>208</v>
      </c>
      <c r="H89" s="14" t="s">
        <v>73</v>
      </c>
      <c r="I89" s="5" t="s">
        <v>195</v>
      </c>
      <c r="J89" s="5">
        <v>3</v>
      </c>
      <c r="K89" s="5">
        <f>17+216+360</f>
        <v>593</v>
      </c>
      <c r="L89" s="5"/>
      <c r="M89" s="5"/>
      <c r="N89" s="5"/>
      <c r="O89" s="5"/>
      <c r="P89" s="5" t="str">
        <f t="shared" si="0"/>
        <v>Not heterogeneous</v>
      </c>
      <c r="Q89" s="5">
        <v>0</v>
      </c>
      <c r="R89" s="14" t="s">
        <v>209</v>
      </c>
      <c r="S89" s="5">
        <v>0.56000000000000005</v>
      </c>
      <c r="T89" s="5">
        <v>0.96</v>
      </c>
      <c r="U89" s="5"/>
      <c r="V89" s="7" t="s">
        <v>41</v>
      </c>
      <c r="W89" s="7" t="s">
        <v>75</v>
      </c>
      <c r="X89" s="14" t="str">
        <f t="shared" si="3"/>
        <v>No concerns</v>
      </c>
      <c r="Y89" s="5" t="s">
        <v>43</v>
      </c>
      <c r="Z89" s="5" t="s">
        <v>44</v>
      </c>
      <c r="AA89" s="5" t="s">
        <v>43</v>
      </c>
      <c r="AB89" s="5" t="s">
        <v>46</v>
      </c>
      <c r="AC89" s="5" t="s">
        <v>46</v>
      </c>
      <c r="AD89" s="5" t="s">
        <v>46</v>
      </c>
      <c r="AE89" s="5" t="s">
        <v>47</v>
      </c>
      <c r="AF89" s="5" t="s">
        <v>48</v>
      </c>
    </row>
    <row r="90" spans="1:32" ht="30" hidden="1" customHeight="1" x14ac:dyDescent="0.35">
      <c r="A90" s="5" t="s">
        <v>52</v>
      </c>
      <c r="B90" s="5" t="s">
        <v>67</v>
      </c>
      <c r="C90" s="5" t="s">
        <v>68</v>
      </c>
      <c r="D90" s="5" t="s">
        <v>34</v>
      </c>
      <c r="E90" s="6" t="s">
        <v>213</v>
      </c>
      <c r="F90" s="5" t="s">
        <v>214</v>
      </c>
      <c r="G90" s="5" t="s">
        <v>215</v>
      </c>
      <c r="H90" s="5" t="s">
        <v>37</v>
      </c>
      <c r="I90" s="5" t="s">
        <v>216</v>
      </c>
      <c r="J90" s="5">
        <v>5</v>
      </c>
      <c r="K90" s="5">
        <v>116</v>
      </c>
      <c r="L90" s="5">
        <v>320</v>
      </c>
      <c r="M90" s="5">
        <f>116+320</f>
        <v>436</v>
      </c>
      <c r="N90" s="5"/>
      <c r="O90" s="5"/>
      <c r="P90" s="5" t="str">
        <f t="shared" si="0"/>
        <v/>
      </c>
      <c r="Q90" s="5"/>
      <c r="R90" s="5" t="str">
        <f t="shared" ref="R90:R190" si="4">IF(S90&lt;0.05,"significant","insignificant")</f>
        <v>insignificant</v>
      </c>
      <c r="S90" s="5">
        <v>0.50436999999999999</v>
      </c>
      <c r="T90" s="5"/>
      <c r="U90" s="5"/>
      <c r="V90" s="7" t="s">
        <v>40</v>
      </c>
      <c r="W90" s="7" t="s">
        <v>41</v>
      </c>
      <c r="X90" s="5" t="s">
        <v>78</v>
      </c>
      <c r="Y90" s="5" t="s">
        <v>43</v>
      </c>
      <c r="Z90" s="5" t="s">
        <v>44</v>
      </c>
      <c r="AA90" s="5" t="s">
        <v>45</v>
      </c>
      <c r="AB90" s="5" t="s">
        <v>76</v>
      </c>
      <c r="AC90" s="5" t="s">
        <v>46</v>
      </c>
      <c r="AD90" s="5" t="s">
        <v>76</v>
      </c>
      <c r="AE90" s="5" t="s">
        <v>75</v>
      </c>
      <c r="AF90" s="5" t="s">
        <v>48</v>
      </c>
    </row>
    <row r="91" spans="1:32" ht="30" hidden="1" customHeight="1" x14ac:dyDescent="0.35">
      <c r="A91" s="5" t="s">
        <v>61</v>
      </c>
      <c r="B91" s="5" t="s">
        <v>67</v>
      </c>
      <c r="C91" s="5" t="s">
        <v>68</v>
      </c>
      <c r="D91" s="5" t="s">
        <v>34</v>
      </c>
      <c r="E91" s="6" t="s">
        <v>213</v>
      </c>
      <c r="F91" s="5" t="s">
        <v>214</v>
      </c>
      <c r="G91" s="5" t="s">
        <v>215</v>
      </c>
      <c r="H91" s="5" t="s">
        <v>37</v>
      </c>
      <c r="I91" s="5" t="s">
        <v>217</v>
      </c>
      <c r="J91" s="5">
        <v>4</v>
      </c>
      <c r="K91" s="5">
        <v>67</v>
      </c>
      <c r="L91" s="5">
        <v>311</v>
      </c>
      <c r="M91" s="5">
        <f>67+311</f>
        <v>378</v>
      </c>
      <c r="N91" s="5"/>
      <c r="O91" s="5"/>
      <c r="P91" s="5" t="str">
        <f t="shared" si="0"/>
        <v/>
      </c>
      <c r="Q91" s="5"/>
      <c r="R91" s="5" t="str">
        <f t="shared" si="4"/>
        <v>insignificant</v>
      </c>
      <c r="S91" s="5">
        <v>0.12608</v>
      </c>
      <c r="T91" s="5"/>
      <c r="U91" s="5"/>
      <c r="V91" s="7" t="s">
        <v>40</v>
      </c>
      <c r="W91" s="7" t="s">
        <v>41</v>
      </c>
      <c r="X91" s="5" t="s">
        <v>78</v>
      </c>
      <c r="Y91" s="5" t="s">
        <v>43</v>
      </c>
      <c r="Z91" s="5" t="s">
        <v>44</v>
      </c>
      <c r="AA91" s="5" t="s">
        <v>45</v>
      </c>
      <c r="AB91" s="5" t="s">
        <v>76</v>
      </c>
      <c r="AC91" s="5" t="s">
        <v>46</v>
      </c>
      <c r="AD91" s="5" t="s">
        <v>76</v>
      </c>
      <c r="AE91" s="5" t="s">
        <v>75</v>
      </c>
      <c r="AF91" s="5" t="s">
        <v>48</v>
      </c>
    </row>
    <row r="92" spans="1:32" ht="30" hidden="1" customHeight="1" x14ac:dyDescent="0.35">
      <c r="A92" s="5" t="s">
        <v>58</v>
      </c>
      <c r="B92" s="5" t="s">
        <v>63</v>
      </c>
      <c r="C92" s="5" t="s">
        <v>96</v>
      </c>
      <c r="D92" s="5" t="s">
        <v>34</v>
      </c>
      <c r="E92" s="6" t="s">
        <v>213</v>
      </c>
      <c r="F92" s="5" t="s">
        <v>214</v>
      </c>
      <c r="G92" s="5" t="s">
        <v>215</v>
      </c>
      <c r="H92" s="5" t="s">
        <v>37</v>
      </c>
      <c r="I92" s="5" t="s">
        <v>218</v>
      </c>
      <c r="J92" s="6">
        <v>6</v>
      </c>
      <c r="K92" s="5">
        <v>93</v>
      </c>
      <c r="L92" s="6">
        <v>150</v>
      </c>
      <c r="M92" s="6">
        <f>93+150</f>
        <v>243</v>
      </c>
      <c r="N92" s="5"/>
      <c r="O92" s="5"/>
      <c r="P92" s="5" t="str">
        <f t="shared" si="0"/>
        <v/>
      </c>
      <c r="Q92" s="5"/>
      <c r="R92" s="5" t="str">
        <f t="shared" si="4"/>
        <v>insignificant</v>
      </c>
      <c r="S92" s="5">
        <v>0.26111400000000001</v>
      </c>
      <c r="T92" s="5"/>
      <c r="U92" s="5"/>
      <c r="V92" s="7" t="s">
        <v>40</v>
      </c>
      <c r="W92" s="7" t="s">
        <v>41</v>
      </c>
      <c r="X92" s="5" t="s">
        <v>78</v>
      </c>
      <c r="Y92" s="5" t="s">
        <v>43</v>
      </c>
      <c r="Z92" s="5" t="s">
        <v>44</v>
      </c>
      <c r="AA92" s="5" t="s">
        <v>45</v>
      </c>
      <c r="AB92" s="5" t="s">
        <v>76</v>
      </c>
      <c r="AC92" s="5" t="s">
        <v>46</v>
      </c>
      <c r="AD92" s="5" t="s">
        <v>76</v>
      </c>
      <c r="AE92" s="5" t="s">
        <v>115</v>
      </c>
      <c r="AF92" s="5" t="s">
        <v>48</v>
      </c>
    </row>
    <row r="93" spans="1:32" ht="30" hidden="1" customHeight="1" x14ac:dyDescent="0.35">
      <c r="A93" s="5" t="s">
        <v>52</v>
      </c>
      <c r="B93" s="5" t="s">
        <v>63</v>
      </c>
      <c r="C93" s="5" t="s">
        <v>64</v>
      </c>
      <c r="D93" s="5" t="s">
        <v>34</v>
      </c>
      <c r="E93" s="6" t="s">
        <v>213</v>
      </c>
      <c r="F93" s="5" t="s">
        <v>214</v>
      </c>
      <c r="G93" s="5" t="s">
        <v>215</v>
      </c>
      <c r="H93" s="5" t="s">
        <v>37</v>
      </c>
      <c r="I93" s="5" t="s">
        <v>219</v>
      </c>
      <c r="J93" s="5">
        <v>5</v>
      </c>
      <c r="K93" s="5">
        <v>48</v>
      </c>
      <c r="L93" s="5">
        <v>141</v>
      </c>
      <c r="M93" s="5">
        <f>141+48</f>
        <v>189</v>
      </c>
      <c r="N93" s="5"/>
      <c r="O93" s="5"/>
      <c r="P93" s="5" t="str">
        <f t="shared" si="0"/>
        <v/>
      </c>
      <c r="Q93" s="5"/>
      <c r="R93" s="5" t="str">
        <f t="shared" si="4"/>
        <v>insignificant</v>
      </c>
      <c r="S93" s="5">
        <v>0.13787099999999999</v>
      </c>
      <c r="T93" s="5"/>
      <c r="U93" s="5"/>
      <c r="V93" s="7" t="s">
        <v>40</v>
      </c>
      <c r="W93" s="7" t="s">
        <v>41</v>
      </c>
      <c r="X93" s="5" t="s">
        <v>78</v>
      </c>
      <c r="Y93" s="5" t="s">
        <v>43</v>
      </c>
      <c r="Z93" s="5" t="s">
        <v>44</v>
      </c>
      <c r="AA93" s="5" t="s">
        <v>45</v>
      </c>
      <c r="AB93" s="5" t="s">
        <v>76</v>
      </c>
      <c r="AC93" s="5" t="s">
        <v>46</v>
      </c>
      <c r="AD93" s="5" t="s">
        <v>76</v>
      </c>
      <c r="AE93" s="5" t="s">
        <v>75</v>
      </c>
      <c r="AF93" s="5" t="s">
        <v>48</v>
      </c>
    </row>
    <row r="94" spans="1:32" ht="30" hidden="1" customHeight="1" x14ac:dyDescent="0.35">
      <c r="A94" s="5" t="s">
        <v>52</v>
      </c>
      <c r="B94" s="5" t="s">
        <v>63</v>
      </c>
      <c r="C94" s="5" t="s">
        <v>96</v>
      </c>
      <c r="D94" s="5" t="s">
        <v>34</v>
      </c>
      <c r="E94" s="6" t="s">
        <v>213</v>
      </c>
      <c r="F94" s="5" t="s">
        <v>214</v>
      </c>
      <c r="G94" s="5" t="s">
        <v>215</v>
      </c>
      <c r="H94" s="5" t="s">
        <v>37</v>
      </c>
      <c r="I94" s="5" t="s">
        <v>220</v>
      </c>
      <c r="J94" s="5">
        <v>5</v>
      </c>
      <c r="K94" s="5">
        <v>36</v>
      </c>
      <c r="L94" s="5">
        <v>146</v>
      </c>
      <c r="M94" s="5">
        <f>36+146</f>
        <v>182</v>
      </c>
      <c r="N94" s="5"/>
      <c r="O94" s="5"/>
      <c r="P94" s="5" t="str">
        <f t="shared" si="0"/>
        <v/>
      </c>
      <c r="Q94" s="5"/>
      <c r="R94" s="5" t="str">
        <f t="shared" si="4"/>
        <v>insignificant</v>
      </c>
      <c r="S94" s="5">
        <v>0.359956</v>
      </c>
      <c r="T94" s="5"/>
      <c r="U94" s="5"/>
      <c r="V94" s="7" t="s">
        <v>40</v>
      </c>
      <c r="W94" s="7" t="s">
        <v>41</v>
      </c>
      <c r="X94" s="5" t="s">
        <v>78</v>
      </c>
      <c r="Y94" s="5" t="s">
        <v>43</v>
      </c>
      <c r="Z94" s="5" t="s">
        <v>44</v>
      </c>
      <c r="AA94" s="5" t="s">
        <v>45</v>
      </c>
      <c r="AB94" s="5" t="s">
        <v>76</v>
      </c>
      <c r="AC94" s="5" t="s">
        <v>46</v>
      </c>
      <c r="AD94" s="5" t="s">
        <v>76</v>
      </c>
      <c r="AE94" s="5" t="s">
        <v>75</v>
      </c>
      <c r="AF94" s="5" t="s">
        <v>48</v>
      </c>
    </row>
    <row r="95" spans="1:32" ht="30" hidden="1" customHeight="1" x14ac:dyDescent="0.35">
      <c r="A95" s="5" t="s">
        <v>61</v>
      </c>
      <c r="B95" s="5" t="s">
        <v>63</v>
      </c>
      <c r="C95" s="5" t="s">
        <v>96</v>
      </c>
      <c r="D95" s="5" t="s">
        <v>34</v>
      </c>
      <c r="E95" s="6" t="s">
        <v>213</v>
      </c>
      <c r="F95" s="5" t="s">
        <v>214</v>
      </c>
      <c r="G95" s="5" t="s">
        <v>215</v>
      </c>
      <c r="H95" s="5" t="s">
        <v>37</v>
      </c>
      <c r="I95" s="5" t="s">
        <v>221</v>
      </c>
      <c r="J95" s="5">
        <v>4</v>
      </c>
      <c r="K95" s="5">
        <v>26</v>
      </c>
      <c r="L95" s="6">
        <v>134</v>
      </c>
      <c r="M95" s="6">
        <f>26+134</f>
        <v>160</v>
      </c>
      <c r="N95" s="5"/>
      <c r="O95" s="5"/>
      <c r="P95" s="5" t="str">
        <f t="shared" si="0"/>
        <v/>
      </c>
      <c r="Q95" s="5"/>
      <c r="R95" s="5" t="str">
        <f t="shared" si="4"/>
        <v>insignificant</v>
      </c>
      <c r="S95" s="5">
        <v>0.408665</v>
      </c>
      <c r="T95" s="5"/>
      <c r="U95" s="5"/>
      <c r="V95" s="7" t="s">
        <v>40</v>
      </c>
      <c r="W95" s="7" t="s">
        <v>41</v>
      </c>
      <c r="X95" s="5" t="s">
        <v>78</v>
      </c>
      <c r="Y95" s="5" t="s">
        <v>43</v>
      </c>
      <c r="Z95" s="5" t="s">
        <v>44</v>
      </c>
      <c r="AA95" s="5" t="s">
        <v>45</v>
      </c>
      <c r="AB95" s="5" t="s">
        <v>76</v>
      </c>
      <c r="AC95" s="5" t="s">
        <v>46</v>
      </c>
      <c r="AD95" s="5" t="s">
        <v>76</v>
      </c>
      <c r="AE95" s="5" t="s">
        <v>75</v>
      </c>
      <c r="AF95" s="5" t="s">
        <v>48</v>
      </c>
    </row>
    <row r="96" spans="1:32" ht="30" hidden="1" customHeight="1" x14ac:dyDescent="0.35">
      <c r="A96" s="5" t="s">
        <v>58</v>
      </c>
      <c r="B96" s="5" t="s">
        <v>67</v>
      </c>
      <c r="C96" s="5" t="s">
        <v>68</v>
      </c>
      <c r="D96" s="5" t="s">
        <v>34</v>
      </c>
      <c r="E96" s="6" t="s">
        <v>213</v>
      </c>
      <c r="F96" s="5" t="s">
        <v>214</v>
      </c>
      <c r="G96" s="5" t="s">
        <v>215</v>
      </c>
      <c r="H96" s="5" t="s">
        <v>37</v>
      </c>
      <c r="I96" s="5" t="s">
        <v>150</v>
      </c>
      <c r="J96" s="5">
        <v>6</v>
      </c>
      <c r="K96" s="5">
        <v>233</v>
      </c>
      <c r="L96" s="5">
        <v>330</v>
      </c>
      <c r="M96" s="5">
        <f>233+330</f>
        <v>563</v>
      </c>
      <c r="N96" s="5"/>
      <c r="O96" s="5"/>
      <c r="P96" s="5" t="str">
        <f t="shared" si="0"/>
        <v/>
      </c>
      <c r="Q96" s="5"/>
      <c r="R96" s="5" t="str">
        <f t="shared" si="4"/>
        <v>significant</v>
      </c>
      <c r="S96" s="5">
        <v>6.0540000000000004E-3</v>
      </c>
      <c r="T96" s="5"/>
      <c r="U96" s="5"/>
      <c r="V96" s="7" t="s">
        <v>40</v>
      </c>
      <c r="W96" s="7" t="s">
        <v>41</v>
      </c>
      <c r="X96" s="5" t="s">
        <v>78</v>
      </c>
      <c r="Y96" s="5" t="s">
        <v>43</v>
      </c>
      <c r="Z96" s="5" t="s">
        <v>56</v>
      </c>
      <c r="AA96" s="5" t="s">
        <v>45</v>
      </c>
      <c r="AB96" s="5" t="s">
        <v>76</v>
      </c>
      <c r="AC96" s="5" t="s">
        <v>46</v>
      </c>
      <c r="AD96" s="5" t="s">
        <v>76</v>
      </c>
      <c r="AE96" s="5" t="s">
        <v>115</v>
      </c>
      <c r="AF96" s="5" t="s">
        <v>66</v>
      </c>
    </row>
    <row r="97" spans="1:32" ht="30" hidden="1" customHeight="1" x14ac:dyDescent="0.35">
      <c r="A97" s="5" t="s">
        <v>58</v>
      </c>
      <c r="B97" s="5" t="s">
        <v>63</v>
      </c>
      <c r="C97" s="5" t="s">
        <v>64</v>
      </c>
      <c r="D97" s="5" t="s">
        <v>34</v>
      </c>
      <c r="E97" s="6" t="s">
        <v>213</v>
      </c>
      <c r="F97" s="5" t="s">
        <v>214</v>
      </c>
      <c r="G97" s="5" t="s">
        <v>215</v>
      </c>
      <c r="H97" s="5" t="s">
        <v>37</v>
      </c>
      <c r="I97" s="5" t="s">
        <v>222</v>
      </c>
      <c r="J97" s="6">
        <v>6</v>
      </c>
      <c r="K97" s="5">
        <v>118</v>
      </c>
      <c r="L97" s="6">
        <v>145</v>
      </c>
      <c r="M97" s="6">
        <f>118+145</f>
        <v>263</v>
      </c>
      <c r="N97" s="5"/>
      <c r="O97" s="5"/>
      <c r="P97" s="5" t="str">
        <f t="shared" si="0"/>
        <v/>
      </c>
      <c r="Q97" s="5"/>
      <c r="R97" s="5" t="str">
        <f t="shared" si="4"/>
        <v>significant</v>
      </c>
      <c r="S97" s="9">
        <v>3.0000000000000001E-6</v>
      </c>
      <c r="T97" s="5"/>
      <c r="U97" s="5"/>
      <c r="V97" s="7" t="s">
        <v>40</v>
      </c>
      <c r="W97" s="7" t="s">
        <v>41</v>
      </c>
      <c r="X97" s="5" t="s">
        <v>78</v>
      </c>
      <c r="Y97" s="5" t="s">
        <v>43</v>
      </c>
      <c r="Z97" s="5" t="s">
        <v>56</v>
      </c>
      <c r="AA97" s="5" t="s">
        <v>45</v>
      </c>
      <c r="AB97" s="5" t="s">
        <v>76</v>
      </c>
      <c r="AC97" s="5" t="s">
        <v>46</v>
      </c>
      <c r="AD97" s="5" t="s">
        <v>76</v>
      </c>
      <c r="AE97" s="5" t="s">
        <v>115</v>
      </c>
      <c r="AF97" s="5" t="s">
        <v>66</v>
      </c>
    </row>
    <row r="98" spans="1:32" ht="30" hidden="1" customHeight="1" x14ac:dyDescent="0.35">
      <c r="A98" s="5" t="s">
        <v>61</v>
      </c>
      <c r="B98" s="5" t="s">
        <v>63</v>
      </c>
      <c r="C98" s="5" t="s">
        <v>64</v>
      </c>
      <c r="D98" s="5" t="s">
        <v>34</v>
      </c>
      <c r="E98" s="6" t="s">
        <v>213</v>
      </c>
      <c r="F98" s="5" t="s">
        <v>214</v>
      </c>
      <c r="G98" s="5" t="s">
        <v>215</v>
      </c>
      <c r="H98" s="5" t="s">
        <v>37</v>
      </c>
      <c r="I98" s="5" t="s">
        <v>223</v>
      </c>
      <c r="J98" s="5">
        <v>4</v>
      </c>
      <c r="K98" s="5">
        <v>41</v>
      </c>
      <c r="L98" s="6">
        <v>152</v>
      </c>
      <c r="M98" s="6">
        <f>41+152</f>
        <v>193</v>
      </c>
      <c r="N98" s="5"/>
      <c r="O98" s="5"/>
      <c r="P98" s="5" t="str">
        <f t="shared" si="0"/>
        <v/>
      </c>
      <c r="Q98" s="5"/>
      <c r="R98" s="5" t="str">
        <f t="shared" si="4"/>
        <v>significant</v>
      </c>
      <c r="S98" s="5">
        <v>1.8197000000000001E-2</v>
      </c>
      <c r="T98" s="5"/>
      <c r="U98" s="5"/>
      <c r="V98" s="7" t="s">
        <v>40</v>
      </c>
      <c r="W98" s="7" t="s">
        <v>41</v>
      </c>
      <c r="X98" s="5" t="s">
        <v>78</v>
      </c>
      <c r="Y98" s="5" t="s">
        <v>43</v>
      </c>
      <c r="Z98" s="5" t="s">
        <v>56</v>
      </c>
      <c r="AA98" s="5" t="s">
        <v>45</v>
      </c>
      <c r="AB98" s="5" t="s">
        <v>76</v>
      </c>
      <c r="AC98" s="5" t="s">
        <v>46</v>
      </c>
      <c r="AD98" s="5" t="s">
        <v>76</v>
      </c>
      <c r="AE98" s="5" t="s">
        <v>115</v>
      </c>
      <c r="AF98" s="5" t="s">
        <v>66</v>
      </c>
    </row>
    <row r="99" spans="1:32" ht="30" hidden="1" customHeight="1" x14ac:dyDescent="0.35">
      <c r="A99" s="5" t="s">
        <v>52</v>
      </c>
      <c r="B99" s="5" t="s">
        <v>67</v>
      </c>
      <c r="C99" s="6" t="s">
        <v>224</v>
      </c>
      <c r="D99" s="5" t="s">
        <v>34</v>
      </c>
      <c r="E99" s="6"/>
      <c r="F99" s="5" t="s">
        <v>35</v>
      </c>
      <c r="G99" s="5" t="s">
        <v>225</v>
      </c>
      <c r="H99" s="5" t="s">
        <v>73</v>
      </c>
      <c r="I99" s="5" t="s">
        <v>226</v>
      </c>
      <c r="J99" s="5">
        <v>3</v>
      </c>
      <c r="K99" s="5"/>
      <c r="L99" s="5"/>
      <c r="M99" s="5"/>
      <c r="N99" s="5"/>
      <c r="O99" s="5"/>
      <c r="P99" s="5" t="str">
        <f t="shared" si="0"/>
        <v>Not heterogeneous</v>
      </c>
      <c r="Q99" s="5">
        <v>50</v>
      </c>
      <c r="R99" s="5" t="str">
        <f t="shared" si="4"/>
        <v>insignificant</v>
      </c>
      <c r="S99" s="5">
        <v>0.18614</v>
      </c>
      <c r="T99" s="5">
        <v>0.11</v>
      </c>
      <c r="U99" s="5"/>
      <c r="V99" s="7" t="s">
        <v>40</v>
      </c>
      <c r="W99" s="7" t="s">
        <v>41</v>
      </c>
      <c r="X99" s="5" t="s">
        <v>42</v>
      </c>
      <c r="Y99" s="5" t="s">
        <v>43</v>
      </c>
      <c r="Z99" s="5" t="s">
        <v>44</v>
      </c>
      <c r="AA99" s="5" t="s">
        <v>45</v>
      </c>
      <c r="AB99" s="5" t="s">
        <v>46</v>
      </c>
      <c r="AC99" s="5" t="s">
        <v>46</v>
      </c>
      <c r="AD99" s="5" t="s">
        <v>46</v>
      </c>
      <c r="AE99" s="5" t="s">
        <v>47</v>
      </c>
      <c r="AF99" s="5" t="s">
        <v>48</v>
      </c>
    </row>
    <row r="100" spans="1:32" ht="30" customHeight="1" x14ac:dyDescent="0.35">
      <c r="A100" s="5" t="s">
        <v>58</v>
      </c>
      <c r="B100" s="5" t="s">
        <v>33</v>
      </c>
      <c r="C100" s="5"/>
      <c r="D100" s="5" t="s">
        <v>34</v>
      </c>
      <c r="E100" s="6"/>
      <c r="F100" s="5" t="s">
        <v>35</v>
      </c>
      <c r="G100" s="5" t="s">
        <v>225</v>
      </c>
      <c r="H100" s="5" t="s">
        <v>73</v>
      </c>
      <c r="I100" s="5" t="s">
        <v>227</v>
      </c>
      <c r="J100" s="5">
        <v>6</v>
      </c>
      <c r="K100" s="5"/>
      <c r="L100" s="5"/>
      <c r="M100" s="5"/>
      <c r="N100" s="5"/>
      <c r="O100" s="5"/>
      <c r="P100" s="5" t="str">
        <f t="shared" si="0"/>
        <v>Not heterogeneous</v>
      </c>
      <c r="Q100" s="5">
        <v>38</v>
      </c>
      <c r="R100" s="5" t="str">
        <f t="shared" si="4"/>
        <v>insignificant</v>
      </c>
      <c r="S100" s="5">
        <v>0.21360199999999999</v>
      </c>
      <c r="T100" s="5">
        <v>0.14000000000000001</v>
      </c>
      <c r="U100" s="5"/>
      <c r="V100" s="7" t="s">
        <v>40</v>
      </c>
      <c r="W100" s="7" t="s">
        <v>41</v>
      </c>
      <c r="X100" s="5" t="s">
        <v>55</v>
      </c>
      <c r="Y100" s="5" t="s">
        <v>43</v>
      </c>
      <c r="Z100" s="5" t="s">
        <v>44</v>
      </c>
      <c r="AA100" s="5" t="s">
        <v>45</v>
      </c>
      <c r="AB100" s="5" t="s">
        <v>46</v>
      </c>
      <c r="AC100" s="5" t="s">
        <v>46</v>
      </c>
      <c r="AD100" s="5" t="s">
        <v>46</v>
      </c>
      <c r="AE100" s="5" t="s">
        <v>47</v>
      </c>
      <c r="AF100" s="5" t="s">
        <v>48</v>
      </c>
    </row>
    <row r="101" spans="1:32" ht="30" hidden="1" customHeight="1" x14ac:dyDescent="0.35">
      <c r="A101" s="5" t="s">
        <v>52</v>
      </c>
      <c r="B101" s="5" t="s">
        <v>67</v>
      </c>
      <c r="C101" s="5" t="s">
        <v>68</v>
      </c>
      <c r="D101" s="5" t="s">
        <v>34</v>
      </c>
      <c r="E101" s="6"/>
      <c r="F101" s="5" t="s">
        <v>35</v>
      </c>
      <c r="G101" s="5" t="s">
        <v>225</v>
      </c>
      <c r="H101" s="5" t="s">
        <v>73</v>
      </c>
      <c r="I101" s="5" t="s">
        <v>228</v>
      </c>
      <c r="J101" s="5">
        <v>3</v>
      </c>
      <c r="K101" s="5"/>
      <c r="L101" s="5"/>
      <c r="M101" s="5"/>
      <c r="N101" s="5"/>
      <c r="O101" s="5"/>
      <c r="P101" s="5" t="str">
        <f t="shared" si="0"/>
        <v>Not heterogeneous</v>
      </c>
      <c r="Q101" s="5">
        <v>49</v>
      </c>
      <c r="R101" s="5" t="str">
        <f t="shared" si="4"/>
        <v>insignificant</v>
      </c>
      <c r="S101" s="5">
        <v>0.90309499999999998</v>
      </c>
      <c r="T101" s="5">
        <v>0.12</v>
      </c>
      <c r="U101" s="5"/>
      <c r="V101" s="7" t="s">
        <v>40</v>
      </c>
      <c r="W101" s="7" t="s">
        <v>41</v>
      </c>
      <c r="X101" s="5" t="s">
        <v>55</v>
      </c>
      <c r="Y101" s="5" t="s">
        <v>43</v>
      </c>
      <c r="Z101" s="5" t="s">
        <v>44</v>
      </c>
      <c r="AA101" s="5" t="s">
        <v>45</v>
      </c>
      <c r="AB101" s="5" t="s">
        <v>46</v>
      </c>
      <c r="AC101" s="5" t="s">
        <v>46</v>
      </c>
      <c r="AD101" s="5" t="s">
        <v>46</v>
      </c>
      <c r="AE101" s="5" t="s">
        <v>47</v>
      </c>
      <c r="AF101" s="5" t="s">
        <v>48</v>
      </c>
    </row>
    <row r="102" spans="1:32" ht="30" customHeight="1" x14ac:dyDescent="0.35">
      <c r="A102" s="5" t="s">
        <v>61</v>
      </c>
      <c r="B102" s="5" t="s">
        <v>33</v>
      </c>
      <c r="C102" s="5"/>
      <c r="D102" s="5" t="s">
        <v>34</v>
      </c>
      <c r="E102" s="6"/>
      <c r="F102" s="5" t="s">
        <v>35</v>
      </c>
      <c r="G102" s="5" t="s">
        <v>225</v>
      </c>
      <c r="H102" s="5" t="s">
        <v>73</v>
      </c>
      <c r="I102" s="5" t="s">
        <v>229</v>
      </c>
      <c r="J102" s="5">
        <v>7</v>
      </c>
      <c r="K102" s="5"/>
      <c r="L102" s="5"/>
      <c r="M102" s="5"/>
      <c r="N102" s="5"/>
      <c r="O102" s="5"/>
      <c r="P102" s="5" t="str">
        <f t="shared" si="0"/>
        <v>Heterogeneous</v>
      </c>
      <c r="Q102" s="5">
        <v>72</v>
      </c>
      <c r="R102" s="5" t="str">
        <f t="shared" si="4"/>
        <v>insignificant</v>
      </c>
      <c r="S102" s="5">
        <v>0.90535699999999997</v>
      </c>
      <c r="T102" s="5" t="s">
        <v>230</v>
      </c>
      <c r="U102" s="5"/>
      <c r="V102" s="7" t="s">
        <v>40</v>
      </c>
      <c r="W102" s="7" t="s">
        <v>41</v>
      </c>
      <c r="X102" s="5" t="s">
        <v>42</v>
      </c>
      <c r="Y102" s="5" t="s">
        <v>43</v>
      </c>
      <c r="Z102" s="5" t="s">
        <v>44</v>
      </c>
      <c r="AA102" s="5" t="s">
        <v>45</v>
      </c>
      <c r="AB102" s="5" t="s">
        <v>46</v>
      </c>
      <c r="AC102" s="5" t="s">
        <v>46</v>
      </c>
      <c r="AD102" s="5" t="s">
        <v>46</v>
      </c>
      <c r="AE102" s="5" t="s">
        <v>47</v>
      </c>
      <c r="AF102" s="5" t="s">
        <v>48</v>
      </c>
    </row>
    <row r="103" spans="1:32" ht="30" hidden="1" customHeight="1" x14ac:dyDescent="0.35">
      <c r="A103" s="5" t="s">
        <v>52</v>
      </c>
      <c r="B103" s="5" t="s">
        <v>67</v>
      </c>
      <c r="C103" s="6" t="s">
        <v>231</v>
      </c>
      <c r="D103" s="5" t="s">
        <v>34</v>
      </c>
      <c r="E103" s="6"/>
      <c r="F103" s="5" t="s">
        <v>35</v>
      </c>
      <c r="G103" s="5" t="s">
        <v>225</v>
      </c>
      <c r="H103" s="5" t="s">
        <v>73</v>
      </c>
      <c r="I103" s="5" t="s">
        <v>232</v>
      </c>
      <c r="J103" s="5">
        <v>4</v>
      </c>
      <c r="K103" s="5"/>
      <c r="L103" s="5"/>
      <c r="M103" s="5"/>
      <c r="N103" s="5"/>
      <c r="O103" s="5"/>
      <c r="P103" s="5" t="str">
        <f t="shared" si="0"/>
        <v>Heterogeneous</v>
      </c>
      <c r="Q103" s="5" t="s">
        <v>86</v>
      </c>
      <c r="R103" s="5" t="str">
        <f t="shared" si="4"/>
        <v>significant</v>
      </c>
      <c r="S103" s="5">
        <v>2.3595000000000001E-2</v>
      </c>
      <c r="T103" s="5">
        <v>0.7</v>
      </c>
      <c r="U103" s="5"/>
      <c r="V103" s="7" t="s">
        <v>40</v>
      </c>
      <c r="W103" s="7" t="s">
        <v>41</v>
      </c>
      <c r="X103" s="5" t="s">
        <v>43</v>
      </c>
      <c r="Y103" s="5" t="s">
        <v>43</v>
      </c>
      <c r="Z103" s="5" t="s">
        <v>56</v>
      </c>
      <c r="AA103" s="5" t="s">
        <v>45</v>
      </c>
      <c r="AB103" s="5" t="s">
        <v>46</v>
      </c>
      <c r="AC103" s="5" t="s">
        <v>46</v>
      </c>
      <c r="AD103" s="5" t="s">
        <v>46</v>
      </c>
      <c r="AE103" s="5" t="s">
        <v>47</v>
      </c>
      <c r="AF103" s="5" t="s">
        <v>48</v>
      </c>
    </row>
    <row r="104" spans="1:32" ht="30" customHeight="1" x14ac:dyDescent="0.35">
      <c r="A104" s="5" t="s">
        <v>52</v>
      </c>
      <c r="B104" s="5" t="s">
        <v>33</v>
      </c>
      <c r="C104" s="5"/>
      <c r="D104" s="5" t="s">
        <v>34</v>
      </c>
      <c r="E104" s="6"/>
      <c r="F104" s="5" t="s">
        <v>35</v>
      </c>
      <c r="G104" s="5" t="s">
        <v>225</v>
      </c>
      <c r="H104" s="5" t="s">
        <v>73</v>
      </c>
      <c r="I104" s="5" t="s">
        <v>233</v>
      </c>
      <c r="J104" s="5">
        <v>4</v>
      </c>
      <c r="K104" s="5"/>
      <c r="L104" s="5"/>
      <c r="M104" s="5"/>
      <c r="N104" s="5"/>
      <c r="O104" s="5"/>
      <c r="P104" s="5" t="str">
        <f t="shared" si="0"/>
        <v>Heterogeneous</v>
      </c>
      <c r="Q104" s="5">
        <v>57</v>
      </c>
      <c r="R104" s="5" t="str">
        <f t="shared" si="4"/>
        <v>insignificant</v>
      </c>
      <c r="S104" s="5">
        <v>0.94951200000000002</v>
      </c>
      <c r="T104" s="5">
        <v>5.6000000000000001E-2</v>
      </c>
      <c r="U104" s="5"/>
      <c r="V104" s="7" t="s">
        <v>40</v>
      </c>
      <c r="W104" s="7" t="s">
        <v>41</v>
      </c>
      <c r="X104" s="5" t="s">
        <v>42</v>
      </c>
      <c r="Y104" s="5" t="s">
        <v>43</v>
      </c>
      <c r="Z104" s="5" t="s">
        <v>44</v>
      </c>
      <c r="AA104" s="5" t="s">
        <v>45</v>
      </c>
      <c r="AB104" s="5" t="s">
        <v>46</v>
      </c>
      <c r="AC104" s="5" t="s">
        <v>46</v>
      </c>
      <c r="AD104" s="5" t="s">
        <v>46</v>
      </c>
      <c r="AE104" s="5" t="s">
        <v>47</v>
      </c>
      <c r="AF104" s="5" t="s">
        <v>48</v>
      </c>
    </row>
    <row r="105" spans="1:32" ht="30" hidden="1" customHeight="1" x14ac:dyDescent="0.35">
      <c r="A105" s="5" t="s">
        <v>61</v>
      </c>
      <c r="B105" s="5" t="s">
        <v>67</v>
      </c>
      <c r="C105" s="6" t="s">
        <v>231</v>
      </c>
      <c r="D105" s="5" t="s">
        <v>34</v>
      </c>
      <c r="E105" s="6"/>
      <c r="F105" s="5" t="s">
        <v>35</v>
      </c>
      <c r="G105" s="5" t="s">
        <v>225</v>
      </c>
      <c r="H105" s="5" t="s">
        <v>73</v>
      </c>
      <c r="I105" s="5" t="s">
        <v>234</v>
      </c>
      <c r="J105" s="5">
        <v>3</v>
      </c>
      <c r="K105" s="5"/>
      <c r="L105" s="5"/>
      <c r="M105" s="5"/>
      <c r="N105" s="5"/>
      <c r="O105" s="5"/>
      <c r="P105" s="5" t="str">
        <f t="shared" si="0"/>
        <v>Heterogeneous</v>
      </c>
      <c r="Q105" s="5">
        <v>62</v>
      </c>
      <c r="R105" s="5" t="str">
        <f t="shared" si="4"/>
        <v>insignificant</v>
      </c>
      <c r="S105" s="5">
        <v>0.61261100000000002</v>
      </c>
      <c r="T105" s="5">
        <v>0.05</v>
      </c>
      <c r="U105" s="5"/>
      <c r="V105" s="7" t="s">
        <v>40</v>
      </c>
      <c r="W105" s="7" t="s">
        <v>41</v>
      </c>
      <c r="X105" s="5" t="s">
        <v>42</v>
      </c>
      <c r="Y105" s="5" t="s">
        <v>43</v>
      </c>
      <c r="Z105" s="5" t="s">
        <v>44</v>
      </c>
      <c r="AA105" s="5" t="s">
        <v>45</v>
      </c>
      <c r="AB105" s="5" t="s">
        <v>46</v>
      </c>
      <c r="AC105" s="5" t="s">
        <v>46</v>
      </c>
      <c r="AD105" s="5" t="s">
        <v>46</v>
      </c>
      <c r="AE105" s="5" t="s">
        <v>47</v>
      </c>
      <c r="AF105" s="5" t="s">
        <v>48</v>
      </c>
    </row>
    <row r="106" spans="1:32" ht="30" hidden="1" customHeight="1" x14ac:dyDescent="0.35">
      <c r="A106" s="5" t="s">
        <v>61</v>
      </c>
      <c r="B106" s="5" t="s">
        <v>67</v>
      </c>
      <c r="C106" s="6" t="s">
        <v>224</v>
      </c>
      <c r="D106" s="5" t="s">
        <v>34</v>
      </c>
      <c r="E106" s="6"/>
      <c r="F106" s="5" t="s">
        <v>35</v>
      </c>
      <c r="G106" s="5" t="s">
        <v>225</v>
      </c>
      <c r="H106" s="5" t="s">
        <v>73</v>
      </c>
      <c r="I106" s="5" t="s">
        <v>235</v>
      </c>
      <c r="J106" s="5">
        <v>1</v>
      </c>
      <c r="K106" s="5"/>
      <c r="L106" s="5"/>
      <c r="M106" s="5"/>
      <c r="N106" s="5"/>
      <c r="O106" s="5"/>
      <c r="P106" s="5" t="str">
        <f t="shared" si="0"/>
        <v>Heterogeneous</v>
      </c>
      <c r="Q106" s="5">
        <v>83</v>
      </c>
      <c r="R106" s="5" t="str">
        <f t="shared" si="4"/>
        <v>insignificant</v>
      </c>
      <c r="S106" s="5">
        <v>0.61092100000000005</v>
      </c>
      <c r="T106" s="5" t="s">
        <v>236</v>
      </c>
      <c r="U106" s="5"/>
      <c r="V106" s="7" t="s">
        <v>40</v>
      </c>
      <c r="W106" s="7" t="s">
        <v>41</v>
      </c>
      <c r="X106" s="5" t="s">
        <v>42</v>
      </c>
      <c r="Y106" s="5" t="s">
        <v>43</v>
      </c>
      <c r="Z106" s="5" t="s">
        <v>44</v>
      </c>
      <c r="AA106" s="5" t="s">
        <v>45</v>
      </c>
      <c r="AB106" s="5" t="s">
        <v>46</v>
      </c>
      <c r="AC106" s="5" t="s">
        <v>46</v>
      </c>
      <c r="AD106" s="5" t="s">
        <v>46</v>
      </c>
      <c r="AE106" s="5" t="s">
        <v>47</v>
      </c>
      <c r="AF106" s="5" t="s">
        <v>48</v>
      </c>
    </row>
    <row r="107" spans="1:32" ht="30" hidden="1" customHeight="1" x14ac:dyDescent="0.35">
      <c r="A107" s="5" t="s">
        <v>61</v>
      </c>
      <c r="B107" s="5" t="s">
        <v>67</v>
      </c>
      <c r="C107" s="5" t="s">
        <v>68</v>
      </c>
      <c r="D107" s="5" t="s">
        <v>34</v>
      </c>
      <c r="E107" s="6"/>
      <c r="F107" s="5" t="s">
        <v>35</v>
      </c>
      <c r="G107" s="5" t="s">
        <v>225</v>
      </c>
      <c r="H107" s="5" t="s">
        <v>73</v>
      </c>
      <c r="I107" s="5" t="s">
        <v>237</v>
      </c>
      <c r="J107" s="5">
        <v>2</v>
      </c>
      <c r="K107" s="5"/>
      <c r="L107" s="5"/>
      <c r="M107" s="5"/>
      <c r="N107" s="5"/>
      <c r="O107" s="5"/>
      <c r="P107" s="5" t="str">
        <f t="shared" si="0"/>
        <v>Heterogeneous</v>
      </c>
      <c r="Q107" s="5">
        <v>87</v>
      </c>
      <c r="R107" s="5" t="str">
        <f t="shared" si="4"/>
        <v>insignificant</v>
      </c>
      <c r="S107" s="5">
        <v>0.59704199999999996</v>
      </c>
      <c r="T107" s="5" t="s">
        <v>238</v>
      </c>
      <c r="U107" s="5"/>
      <c r="V107" s="7" t="s">
        <v>40</v>
      </c>
      <c r="W107" s="7" t="s">
        <v>41</v>
      </c>
      <c r="X107" s="5" t="s">
        <v>42</v>
      </c>
      <c r="Y107" s="5" t="s">
        <v>43</v>
      </c>
      <c r="Z107" s="5" t="s">
        <v>44</v>
      </c>
      <c r="AA107" s="5" t="s">
        <v>45</v>
      </c>
      <c r="AB107" s="5" t="s">
        <v>46</v>
      </c>
      <c r="AC107" s="5" t="s">
        <v>46</v>
      </c>
      <c r="AD107" s="5" t="s">
        <v>46</v>
      </c>
      <c r="AE107" s="5" t="s">
        <v>47</v>
      </c>
      <c r="AF107" s="5" t="s">
        <v>48</v>
      </c>
    </row>
    <row r="108" spans="1:32" ht="30" hidden="1" customHeight="1" x14ac:dyDescent="0.35">
      <c r="A108" s="5" t="s">
        <v>58</v>
      </c>
      <c r="B108" s="5" t="s">
        <v>67</v>
      </c>
      <c r="C108" s="6" t="s">
        <v>231</v>
      </c>
      <c r="D108" s="5" t="s">
        <v>34</v>
      </c>
      <c r="E108" s="6"/>
      <c r="F108" s="5" t="s">
        <v>35</v>
      </c>
      <c r="G108" s="5" t="s">
        <v>225</v>
      </c>
      <c r="H108" s="5" t="s">
        <v>73</v>
      </c>
      <c r="I108" s="5" t="s">
        <v>239</v>
      </c>
      <c r="J108" s="5">
        <v>6</v>
      </c>
      <c r="K108" s="5"/>
      <c r="L108" s="5"/>
      <c r="M108" s="5"/>
      <c r="N108" s="5"/>
      <c r="O108" s="5"/>
      <c r="P108" s="5" t="str">
        <f t="shared" si="0"/>
        <v>Not heterogeneous</v>
      </c>
      <c r="Q108" s="5">
        <v>38</v>
      </c>
      <c r="R108" s="5" t="str">
        <f t="shared" si="4"/>
        <v>insignificant</v>
      </c>
      <c r="S108" s="5">
        <v>0.82015300000000002</v>
      </c>
      <c r="T108" s="5">
        <v>0.14199999999999999</v>
      </c>
      <c r="U108" s="5"/>
      <c r="V108" s="7" t="s">
        <v>40</v>
      </c>
      <c r="W108" s="7" t="s">
        <v>41</v>
      </c>
      <c r="X108" s="5" t="s">
        <v>55</v>
      </c>
      <c r="Y108" s="5" t="s">
        <v>43</v>
      </c>
      <c r="Z108" s="5" t="s">
        <v>44</v>
      </c>
      <c r="AA108" s="5" t="s">
        <v>45</v>
      </c>
      <c r="AB108" s="5" t="s">
        <v>46</v>
      </c>
      <c r="AC108" s="5" t="s">
        <v>46</v>
      </c>
      <c r="AD108" s="5" t="s">
        <v>46</v>
      </c>
      <c r="AE108" s="5" t="s">
        <v>47</v>
      </c>
      <c r="AF108" s="5" t="s">
        <v>48</v>
      </c>
    </row>
    <row r="109" spans="1:32" ht="30" hidden="1" customHeight="1" x14ac:dyDescent="0.35">
      <c r="A109" s="5" t="s">
        <v>58</v>
      </c>
      <c r="B109" s="5" t="s">
        <v>67</v>
      </c>
      <c r="C109" s="6" t="s">
        <v>224</v>
      </c>
      <c r="D109" s="5" t="s">
        <v>34</v>
      </c>
      <c r="E109" s="6"/>
      <c r="F109" s="5" t="s">
        <v>35</v>
      </c>
      <c r="G109" s="5" t="s">
        <v>225</v>
      </c>
      <c r="H109" s="5" t="s">
        <v>73</v>
      </c>
      <c r="I109" s="5" t="s">
        <v>240</v>
      </c>
      <c r="J109" s="5">
        <v>3</v>
      </c>
      <c r="K109" s="5"/>
      <c r="L109" s="5"/>
      <c r="M109" s="5"/>
      <c r="N109" s="5"/>
      <c r="O109" s="5"/>
      <c r="P109" s="5" t="str">
        <f t="shared" si="0"/>
        <v>Heterogeneous</v>
      </c>
      <c r="Q109" s="5">
        <v>79</v>
      </c>
      <c r="R109" s="5" t="str">
        <f t="shared" si="4"/>
        <v>insignificant</v>
      </c>
      <c r="S109" s="5">
        <v>0.539883</v>
      </c>
      <c r="T109" s="5" t="s">
        <v>241</v>
      </c>
      <c r="U109" s="5"/>
      <c r="V109" s="7" t="s">
        <v>40</v>
      </c>
      <c r="W109" s="7" t="s">
        <v>41</v>
      </c>
      <c r="X109" s="5" t="s">
        <v>42</v>
      </c>
      <c r="Y109" s="5" t="s">
        <v>43</v>
      </c>
      <c r="Z109" s="5" t="s">
        <v>44</v>
      </c>
      <c r="AA109" s="5" t="s">
        <v>45</v>
      </c>
      <c r="AB109" s="5" t="s">
        <v>46</v>
      </c>
      <c r="AC109" s="5" t="s">
        <v>46</v>
      </c>
      <c r="AD109" s="5" t="s">
        <v>46</v>
      </c>
      <c r="AE109" s="5" t="s">
        <v>47</v>
      </c>
      <c r="AF109" s="5" t="s">
        <v>48</v>
      </c>
    </row>
    <row r="110" spans="1:32" ht="30" hidden="1" customHeight="1" x14ac:dyDescent="0.35">
      <c r="A110" s="5" t="s">
        <v>58</v>
      </c>
      <c r="B110" s="5" t="s">
        <v>67</v>
      </c>
      <c r="C110" s="5" t="s">
        <v>68</v>
      </c>
      <c r="D110" s="5" t="s">
        <v>34</v>
      </c>
      <c r="E110" s="6"/>
      <c r="F110" s="5" t="s">
        <v>35</v>
      </c>
      <c r="G110" s="5" t="s">
        <v>225</v>
      </c>
      <c r="H110" s="5" t="s">
        <v>73</v>
      </c>
      <c r="I110" s="5" t="s">
        <v>242</v>
      </c>
      <c r="J110" s="5">
        <v>3</v>
      </c>
      <c r="K110" s="5"/>
      <c r="L110" s="5"/>
      <c r="M110" s="5"/>
      <c r="N110" s="5"/>
      <c r="O110" s="5"/>
      <c r="P110" s="5" t="str">
        <f t="shared" si="0"/>
        <v>Heterogeneous</v>
      </c>
      <c r="Q110" s="5">
        <v>83</v>
      </c>
      <c r="R110" s="5" t="str">
        <f t="shared" si="4"/>
        <v>insignificant</v>
      </c>
      <c r="S110" s="5">
        <v>0.23360300000000001</v>
      </c>
      <c r="T110" s="5" t="s">
        <v>230</v>
      </c>
      <c r="U110" s="5"/>
      <c r="V110" s="7" t="s">
        <v>40</v>
      </c>
      <c r="W110" s="7" t="s">
        <v>41</v>
      </c>
      <c r="X110" s="5" t="s">
        <v>42</v>
      </c>
      <c r="Y110" s="5" t="s">
        <v>43</v>
      </c>
      <c r="Z110" s="5" t="s">
        <v>44</v>
      </c>
      <c r="AA110" s="5" t="s">
        <v>45</v>
      </c>
      <c r="AB110" s="5" t="s">
        <v>46</v>
      </c>
      <c r="AC110" s="5" t="s">
        <v>46</v>
      </c>
      <c r="AD110" s="5" t="s">
        <v>46</v>
      </c>
      <c r="AE110" s="5" t="s">
        <v>47</v>
      </c>
      <c r="AF110" s="5" t="s">
        <v>48</v>
      </c>
    </row>
    <row r="111" spans="1:32" ht="30" customHeight="1" x14ac:dyDescent="0.35">
      <c r="A111" s="5" t="s">
        <v>52</v>
      </c>
      <c r="B111" s="5" t="s">
        <v>33</v>
      </c>
      <c r="C111" s="5"/>
      <c r="D111" s="5" t="s">
        <v>34</v>
      </c>
      <c r="E111" s="6" t="s">
        <v>243</v>
      </c>
      <c r="F111" s="5" t="s">
        <v>214</v>
      </c>
      <c r="G111" s="5" t="s">
        <v>244</v>
      </c>
      <c r="H111" s="5" t="s">
        <v>37</v>
      </c>
      <c r="I111" s="5" t="s">
        <v>245</v>
      </c>
      <c r="J111" s="5">
        <v>8</v>
      </c>
      <c r="K111" s="5">
        <v>149</v>
      </c>
      <c r="L111" s="5"/>
      <c r="M111" s="5"/>
      <c r="N111" s="5">
        <v>527</v>
      </c>
      <c r="O111" s="5"/>
      <c r="P111" s="5" t="str">
        <f t="shared" si="0"/>
        <v>Heterogeneous</v>
      </c>
      <c r="Q111" s="5" t="s">
        <v>246</v>
      </c>
      <c r="R111" s="5" t="str">
        <f t="shared" si="4"/>
        <v>insignificant</v>
      </c>
      <c r="S111" s="5">
        <v>0.147925</v>
      </c>
      <c r="T111" s="5">
        <v>0.4</v>
      </c>
      <c r="U111" s="5" t="s">
        <v>136</v>
      </c>
      <c r="V111" s="7" t="s">
        <v>40</v>
      </c>
      <c r="W111" s="7" t="s">
        <v>41</v>
      </c>
      <c r="X111" s="5" t="s">
        <v>78</v>
      </c>
      <c r="Y111" s="5" t="s">
        <v>43</v>
      </c>
      <c r="Z111" s="5" t="s">
        <v>44</v>
      </c>
      <c r="AA111" s="5" t="s">
        <v>78</v>
      </c>
      <c r="AB111" s="5" t="s">
        <v>46</v>
      </c>
      <c r="AC111" s="5" t="s">
        <v>46</v>
      </c>
      <c r="AD111" s="5" t="s">
        <v>46</v>
      </c>
      <c r="AE111" s="5" t="s">
        <v>47</v>
      </c>
      <c r="AF111" s="5" t="s">
        <v>48</v>
      </c>
    </row>
    <row r="112" spans="1:32" ht="30" hidden="1" customHeight="1" x14ac:dyDescent="0.35">
      <c r="A112" s="5" t="s">
        <v>52</v>
      </c>
      <c r="B112" s="5" t="s">
        <v>63</v>
      </c>
      <c r="C112" s="5" t="s">
        <v>64</v>
      </c>
      <c r="D112" s="5" t="s">
        <v>34</v>
      </c>
      <c r="E112" s="6" t="s">
        <v>243</v>
      </c>
      <c r="F112" s="5" t="s">
        <v>214</v>
      </c>
      <c r="G112" s="5" t="s">
        <v>244</v>
      </c>
      <c r="H112" s="5" t="s">
        <v>37</v>
      </c>
      <c r="I112" s="5" t="s">
        <v>247</v>
      </c>
      <c r="J112" s="5">
        <v>4</v>
      </c>
      <c r="K112" s="5"/>
      <c r="L112" s="5"/>
      <c r="M112" s="5"/>
      <c r="N112" s="5"/>
      <c r="O112" s="5"/>
      <c r="P112" s="5" t="str">
        <f t="shared" si="0"/>
        <v>Heterogeneous</v>
      </c>
      <c r="Q112" s="5" t="s">
        <v>86</v>
      </c>
      <c r="R112" s="5" t="str">
        <f t="shared" si="4"/>
        <v>insignificant</v>
      </c>
      <c r="S112" s="5">
        <v>0.39708300000000002</v>
      </c>
      <c r="T112" s="5">
        <v>0.57999999999999996</v>
      </c>
      <c r="U112" s="5" t="s">
        <v>136</v>
      </c>
      <c r="V112" s="7" t="s">
        <v>40</v>
      </c>
      <c r="W112" s="7" t="s">
        <v>41</v>
      </c>
      <c r="X112" s="5" t="s">
        <v>43</v>
      </c>
      <c r="Y112" s="5" t="s">
        <v>43</v>
      </c>
      <c r="Z112" s="5" t="s">
        <v>44</v>
      </c>
      <c r="AA112" s="5" t="s">
        <v>78</v>
      </c>
      <c r="AB112" s="5" t="s">
        <v>46</v>
      </c>
      <c r="AC112" s="5" t="s">
        <v>46</v>
      </c>
      <c r="AD112" s="5" t="s">
        <v>46</v>
      </c>
      <c r="AE112" s="5" t="s">
        <v>47</v>
      </c>
      <c r="AF112" s="5" t="s">
        <v>48</v>
      </c>
    </row>
    <row r="113" spans="1:32" ht="30" customHeight="1" x14ac:dyDescent="0.35">
      <c r="A113" s="5" t="s">
        <v>165</v>
      </c>
      <c r="B113" s="5" t="s">
        <v>33</v>
      </c>
      <c r="C113" s="5"/>
      <c r="D113" s="5" t="s">
        <v>34</v>
      </c>
      <c r="E113" s="6" t="s">
        <v>243</v>
      </c>
      <c r="F113" s="5" t="s">
        <v>35</v>
      </c>
      <c r="G113" s="5" t="s">
        <v>244</v>
      </c>
      <c r="H113" s="5" t="s">
        <v>37</v>
      </c>
      <c r="I113" s="5" t="s">
        <v>248</v>
      </c>
      <c r="J113" s="5">
        <v>12</v>
      </c>
      <c r="K113" s="5">
        <v>748</v>
      </c>
      <c r="L113" s="5"/>
      <c r="M113" s="5"/>
      <c r="N113" s="5">
        <v>2870</v>
      </c>
      <c r="O113" s="5"/>
      <c r="P113" s="5" t="str">
        <f t="shared" si="0"/>
        <v>Heterogeneous</v>
      </c>
      <c r="Q113" s="5">
        <v>58.8</v>
      </c>
      <c r="R113" s="5" t="str">
        <f t="shared" si="4"/>
        <v>insignificant</v>
      </c>
      <c r="S113" s="5">
        <v>0.81298400000000004</v>
      </c>
      <c r="T113" s="5">
        <v>0.45</v>
      </c>
      <c r="U113" s="5" t="s">
        <v>136</v>
      </c>
      <c r="V113" s="7" t="s">
        <v>40</v>
      </c>
      <c r="W113" s="7" t="s">
        <v>41</v>
      </c>
      <c r="X113" s="5" t="s">
        <v>78</v>
      </c>
      <c r="Y113" s="5" t="s">
        <v>43</v>
      </c>
      <c r="Z113" s="5" t="s">
        <v>44</v>
      </c>
      <c r="AA113" s="5" t="s">
        <v>78</v>
      </c>
      <c r="AB113" s="5" t="s">
        <v>46</v>
      </c>
      <c r="AC113" s="5" t="s">
        <v>46</v>
      </c>
      <c r="AD113" s="5" t="s">
        <v>46</v>
      </c>
      <c r="AE113" s="5" t="s">
        <v>47</v>
      </c>
      <c r="AF113" s="5" t="s">
        <v>48</v>
      </c>
    </row>
    <row r="114" spans="1:32" ht="30" customHeight="1" x14ac:dyDescent="0.35">
      <c r="A114" s="5" t="s">
        <v>58</v>
      </c>
      <c r="B114" s="5" t="s">
        <v>33</v>
      </c>
      <c r="C114" s="5"/>
      <c r="D114" s="5" t="s">
        <v>34</v>
      </c>
      <c r="E114" s="6" t="s">
        <v>243</v>
      </c>
      <c r="F114" s="5" t="s">
        <v>35</v>
      </c>
      <c r="G114" s="6" t="s">
        <v>244</v>
      </c>
      <c r="H114" s="5" t="s">
        <v>37</v>
      </c>
      <c r="I114" s="5" t="s">
        <v>249</v>
      </c>
      <c r="J114" s="5">
        <v>9</v>
      </c>
      <c r="K114" s="5">
        <v>339</v>
      </c>
      <c r="L114" s="5"/>
      <c r="M114" s="5"/>
      <c r="N114" s="5" t="s">
        <v>250</v>
      </c>
      <c r="O114" s="5"/>
      <c r="P114" s="5" t="str">
        <f t="shared" si="0"/>
        <v>Heterogeneous</v>
      </c>
      <c r="Q114" s="5">
        <v>60</v>
      </c>
      <c r="R114" s="5" t="str">
        <f t="shared" si="4"/>
        <v>insignificant</v>
      </c>
      <c r="S114" s="5">
        <v>0.69908999999999999</v>
      </c>
      <c r="T114" s="5">
        <v>0.37</v>
      </c>
      <c r="U114" s="5" t="s">
        <v>136</v>
      </c>
      <c r="V114" s="7" t="s">
        <v>40</v>
      </c>
      <c r="W114" s="7" t="s">
        <v>41</v>
      </c>
      <c r="X114" s="5" t="s">
        <v>78</v>
      </c>
      <c r="Y114" s="5" t="s">
        <v>43</v>
      </c>
      <c r="Z114" s="5" t="s">
        <v>44</v>
      </c>
      <c r="AA114" s="5" t="s">
        <v>78</v>
      </c>
      <c r="AB114" s="5" t="s">
        <v>46</v>
      </c>
      <c r="AC114" s="5" t="s">
        <v>46</v>
      </c>
      <c r="AD114" s="5" t="s">
        <v>46</v>
      </c>
      <c r="AE114" s="5" t="s">
        <v>47</v>
      </c>
      <c r="AF114" s="5" t="s">
        <v>48</v>
      </c>
    </row>
    <row r="115" spans="1:32" ht="30" customHeight="1" x14ac:dyDescent="0.35">
      <c r="A115" s="5" t="s">
        <v>61</v>
      </c>
      <c r="B115" s="5" t="s">
        <v>33</v>
      </c>
      <c r="C115" s="5"/>
      <c r="D115" s="5" t="s">
        <v>34</v>
      </c>
      <c r="E115" s="6" t="s">
        <v>243</v>
      </c>
      <c r="F115" s="5" t="s">
        <v>214</v>
      </c>
      <c r="G115" s="5" t="s">
        <v>244</v>
      </c>
      <c r="H115" s="5" t="s">
        <v>37</v>
      </c>
      <c r="I115" s="5" t="s">
        <v>251</v>
      </c>
      <c r="J115" s="5">
        <v>6</v>
      </c>
      <c r="K115" s="5">
        <v>167</v>
      </c>
      <c r="L115" s="5"/>
      <c r="M115" s="5"/>
      <c r="N115" s="5">
        <v>605</v>
      </c>
      <c r="O115" s="5"/>
      <c r="P115" s="5" t="str">
        <f t="shared" si="0"/>
        <v>Heterogeneous</v>
      </c>
      <c r="Q115" s="5" t="s">
        <v>252</v>
      </c>
      <c r="R115" s="5" t="str">
        <f t="shared" si="4"/>
        <v>insignificant</v>
      </c>
      <c r="S115" s="5">
        <v>0.48393799999999998</v>
      </c>
      <c r="T115" s="5">
        <v>0.34</v>
      </c>
      <c r="U115" s="5" t="s">
        <v>136</v>
      </c>
      <c r="V115" s="7" t="s">
        <v>40</v>
      </c>
      <c r="W115" s="7" t="s">
        <v>41</v>
      </c>
      <c r="X115" s="5" t="s">
        <v>78</v>
      </c>
      <c r="Y115" s="5" t="s">
        <v>43</v>
      </c>
      <c r="Z115" s="5" t="s">
        <v>44</v>
      </c>
      <c r="AA115" s="5" t="s">
        <v>78</v>
      </c>
      <c r="AB115" s="5" t="s">
        <v>46</v>
      </c>
      <c r="AC115" s="5" t="s">
        <v>46</v>
      </c>
      <c r="AD115" s="5" t="s">
        <v>46</v>
      </c>
      <c r="AE115" s="5" t="s">
        <v>47</v>
      </c>
      <c r="AF115" s="5" t="s">
        <v>48</v>
      </c>
    </row>
    <row r="116" spans="1:32" ht="30" hidden="1" customHeight="1" x14ac:dyDescent="0.35">
      <c r="A116" s="5" t="s">
        <v>58</v>
      </c>
      <c r="B116" s="5" t="s">
        <v>63</v>
      </c>
      <c r="C116" s="5" t="s">
        <v>64</v>
      </c>
      <c r="D116" s="5" t="s">
        <v>34</v>
      </c>
      <c r="E116" s="6" t="s">
        <v>243</v>
      </c>
      <c r="F116" s="5" t="s">
        <v>35</v>
      </c>
      <c r="G116" s="5" t="s">
        <v>244</v>
      </c>
      <c r="H116" s="5" t="s">
        <v>37</v>
      </c>
      <c r="I116" s="5" t="s">
        <v>253</v>
      </c>
      <c r="J116" s="6">
        <v>4</v>
      </c>
      <c r="K116" s="5"/>
      <c r="L116" s="5"/>
      <c r="M116" s="5"/>
      <c r="N116" s="5"/>
      <c r="O116" s="5"/>
      <c r="P116" s="5" t="str">
        <f t="shared" si="0"/>
        <v>Heterogeneous</v>
      </c>
      <c r="Q116" s="5">
        <v>71</v>
      </c>
      <c r="R116" s="5" t="str">
        <f t="shared" si="4"/>
        <v>insignificant</v>
      </c>
      <c r="S116" s="5">
        <v>0.297319</v>
      </c>
      <c r="T116" s="6">
        <v>0.45</v>
      </c>
      <c r="U116" s="5" t="s">
        <v>136</v>
      </c>
      <c r="V116" s="7" t="s">
        <v>40</v>
      </c>
      <c r="W116" s="7" t="s">
        <v>41</v>
      </c>
      <c r="X116" s="5" t="s">
        <v>43</v>
      </c>
      <c r="Y116" s="5" t="s">
        <v>43</v>
      </c>
      <c r="Z116" s="5" t="s">
        <v>44</v>
      </c>
      <c r="AA116" s="5" t="s">
        <v>78</v>
      </c>
      <c r="AB116" s="5" t="s">
        <v>46</v>
      </c>
      <c r="AC116" s="5" t="s">
        <v>46</v>
      </c>
      <c r="AD116" s="5" t="s">
        <v>46</v>
      </c>
      <c r="AE116" s="5" t="s">
        <v>47</v>
      </c>
      <c r="AF116" s="5" t="s">
        <v>48</v>
      </c>
    </row>
    <row r="117" spans="1:32" ht="30" hidden="1" customHeight="1" x14ac:dyDescent="0.35">
      <c r="A117" s="5" t="s">
        <v>61</v>
      </c>
      <c r="B117" s="5" t="s">
        <v>63</v>
      </c>
      <c r="C117" s="5" t="s">
        <v>64</v>
      </c>
      <c r="D117" s="5" t="s">
        <v>34</v>
      </c>
      <c r="E117" s="6" t="s">
        <v>243</v>
      </c>
      <c r="F117" s="5" t="s">
        <v>35</v>
      </c>
      <c r="G117" s="5" t="s">
        <v>244</v>
      </c>
      <c r="H117" s="5" t="s">
        <v>37</v>
      </c>
      <c r="I117" s="5" t="s">
        <v>254</v>
      </c>
      <c r="J117" s="5">
        <v>4</v>
      </c>
      <c r="K117" s="5"/>
      <c r="L117" s="5"/>
      <c r="M117" s="5"/>
      <c r="N117" s="5"/>
      <c r="O117" s="5"/>
      <c r="P117" s="5" t="str">
        <f t="shared" si="0"/>
        <v>Heterogeneous</v>
      </c>
      <c r="Q117" s="5">
        <v>72.5</v>
      </c>
      <c r="R117" s="5" t="str">
        <f t="shared" si="4"/>
        <v>insignificant</v>
      </c>
      <c r="S117" s="5">
        <v>0.91869599999999996</v>
      </c>
      <c r="T117" s="5">
        <v>0.2</v>
      </c>
      <c r="U117" s="5" t="s">
        <v>136</v>
      </c>
      <c r="V117" s="7" t="s">
        <v>40</v>
      </c>
      <c r="W117" s="7" t="s">
        <v>41</v>
      </c>
      <c r="X117" s="5" t="s">
        <v>43</v>
      </c>
      <c r="Y117" s="5" t="s">
        <v>43</v>
      </c>
      <c r="Z117" s="5" t="s">
        <v>44</v>
      </c>
      <c r="AA117" s="5" t="s">
        <v>78</v>
      </c>
      <c r="AB117" s="5" t="s">
        <v>46</v>
      </c>
      <c r="AC117" s="5" t="s">
        <v>46</v>
      </c>
      <c r="AD117" s="5" t="s">
        <v>46</v>
      </c>
      <c r="AE117" s="5" t="s">
        <v>47</v>
      </c>
      <c r="AF117" s="5" t="s">
        <v>48</v>
      </c>
    </row>
    <row r="118" spans="1:32" ht="30" hidden="1" customHeight="1" x14ac:dyDescent="0.35">
      <c r="A118" s="5" t="s">
        <v>165</v>
      </c>
      <c r="B118" s="5" t="s">
        <v>49</v>
      </c>
      <c r="C118" s="5" t="s">
        <v>50</v>
      </c>
      <c r="D118" s="5" t="s">
        <v>34</v>
      </c>
      <c r="E118" s="6" t="s">
        <v>243</v>
      </c>
      <c r="F118" s="5" t="s">
        <v>35</v>
      </c>
      <c r="G118" s="5" t="s">
        <v>244</v>
      </c>
      <c r="H118" s="5" t="s">
        <v>37</v>
      </c>
      <c r="I118" s="5" t="s">
        <v>255</v>
      </c>
      <c r="J118" s="5">
        <v>7</v>
      </c>
      <c r="K118" s="5"/>
      <c r="L118" s="5"/>
      <c r="M118" s="5"/>
      <c r="N118" s="5"/>
      <c r="O118" s="5"/>
      <c r="P118" s="5" t="str">
        <f t="shared" si="0"/>
        <v>Heterogeneous</v>
      </c>
      <c r="Q118" s="5">
        <v>63.1</v>
      </c>
      <c r="R118" s="5" t="str">
        <f t="shared" si="4"/>
        <v>insignificant</v>
      </c>
      <c r="S118" s="5">
        <v>0.21196999999999999</v>
      </c>
      <c r="T118" s="5">
        <v>0.41</v>
      </c>
      <c r="U118" s="5" t="s">
        <v>136</v>
      </c>
      <c r="V118" s="7" t="s">
        <v>40</v>
      </c>
      <c r="W118" s="7" t="s">
        <v>41</v>
      </c>
      <c r="X118" s="5" t="s">
        <v>42</v>
      </c>
      <c r="Y118" s="5" t="s">
        <v>43</v>
      </c>
      <c r="Z118" s="5" t="s">
        <v>44</v>
      </c>
      <c r="AA118" s="5" t="s">
        <v>78</v>
      </c>
      <c r="AB118" s="5" t="s">
        <v>46</v>
      </c>
      <c r="AC118" s="5" t="s">
        <v>46</v>
      </c>
      <c r="AD118" s="5" t="s">
        <v>46</v>
      </c>
      <c r="AE118" s="5" t="s">
        <v>47</v>
      </c>
      <c r="AF118" s="5" t="s">
        <v>48</v>
      </c>
    </row>
    <row r="119" spans="1:32" ht="30" hidden="1" customHeight="1" x14ac:dyDescent="0.35">
      <c r="A119" s="5" t="s">
        <v>165</v>
      </c>
      <c r="B119" s="5" t="s">
        <v>49</v>
      </c>
      <c r="C119" s="5" t="s">
        <v>172</v>
      </c>
      <c r="D119" s="5" t="s">
        <v>34</v>
      </c>
      <c r="E119" s="6" t="s">
        <v>243</v>
      </c>
      <c r="F119" s="5" t="s">
        <v>35</v>
      </c>
      <c r="G119" s="5" t="s">
        <v>244</v>
      </c>
      <c r="H119" s="5" t="s">
        <v>37</v>
      </c>
      <c r="I119" s="5" t="s">
        <v>256</v>
      </c>
      <c r="J119" s="5">
        <v>7</v>
      </c>
      <c r="K119" s="5"/>
      <c r="L119" s="5"/>
      <c r="M119" s="5"/>
      <c r="N119" s="5"/>
      <c r="O119" s="5"/>
      <c r="P119" s="5" t="str">
        <f t="shared" si="0"/>
        <v>Heterogeneous</v>
      </c>
      <c r="Q119" s="5">
        <v>59.1</v>
      </c>
      <c r="R119" s="5" t="str">
        <f t="shared" si="4"/>
        <v>insignificant</v>
      </c>
      <c r="S119" s="5">
        <v>0.76888900000000004</v>
      </c>
      <c r="T119" s="5">
        <v>0.47</v>
      </c>
      <c r="U119" s="5" t="s">
        <v>136</v>
      </c>
      <c r="V119" s="7" t="s">
        <v>40</v>
      </c>
      <c r="W119" s="7" t="s">
        <v>41</v>
      </c>
      <c r="X119" s="5" t="s">
        <v>42</v>
      </c>
      <c r="Y119" s="5" t="s">
        <v>43</v>
      </c>
      <c r="Z119" s="5" t="s">
        <v>44</v>
      </c>
      <c r="AA119" s="5" t="s">
        <v>78</v>
      </c>
      <c r="AB119" s="5" t="s">
        <v>46</v>
      </c>
      <c r="AC119" s="5" t="s">
        <v>46</v>
      </c>
      <c r="AD119" s="5" t="s">
        <v>46</v>
      </c>
      <c r="AE119" s="5" t="s">
        <v>47</v>
      </c>
      <c r="AF119" s="5" t="s">
        <v>48</v>
      </c>
    </row>
    <row r="120" spans="1:32" ht="30" hidden="1" customHeight="1" x14ac:dyDescent="0.35">
      <c r="A120" s="5" t="s">
        <v>165</v>
      </c>
      <c r="B120" s="5" t="s">
        <v>63</v>
      </c>
      <c r="C120" s="5" t="s">
        <v>64</v>
      </c>
      <c r="D120" s="5" t="s">
        <v>34</v>
      </c>
      <c r="E120" s="6" t="s">
        <v>243</v>
      </c>
      <c r="F120" s="5" t="s">
        <v>35</v>
      </c>
      <c r="G120" s="5" t="s">
        <v>244</v>
      </c>
      <c r="H120" s="5" t="s">
        <v>37</v>
      </c>
      <c r="I120" s="5" t="s">
        <v>257</v>
      </c>
      <c r="J120" s="5">
        <v>8</v>
      </c>
      <c r="K120" s="5"/>
      <c r="L120" s="5"/>
      <c r="M120" s="5"/>
      <c r="N120" s="5"/>
      <c r="O120" s="5"/>
      <c r="P120" s="5" t="str">
        <f t="shared" si="0"/>
        <v>Not heterogeneous</v>
      </c>
      <c r="Q120" s="5">
        <v>34.6</v>
      </c>
      <c r="R120" s="5" t="str">
        <f t="shared" si="4"/>
        <v>insignificant</v>
      </c>
      <c r="S120" s="5">
        <v>5.7858199999999999E-2</v>
      </c>
      <c r="T120" s="5">
        <v>0.15</v>
      </c>
      <c r="U120" s="5" t="s">
        <v>136</v>
      </c>
      <c r="V120" s="7" t="s">
        <v>40</v>
      </c>
      <c r="W120" s="7" t="s">
        <v>41</v>
      </c>
      <c r="X120" s="5" t="s">
        <v>55</v>
      </c>
      <c r="Y120" s="5" t="s">
        <v>43</v>
      </c>
      <c r="Z120" s="5" t="s">
        <v>44</v>
      </c>
      <c r="AA120" s="5" t="s">
        <v>78</v>
      </c>
      <c r="AB120" s="5" t="s">
        <v>46</v>
      </c>
      <c r="AC120" s="5" t="s">
        <v>46</v>
      </c>
      <c r="AD120" s="5" t="s">
        <v>46</v>
      </c>
      <c r="AE120" s="5" t="s">
        <v>47</v>
      </c>
      <c r="AF120" s="5" t="s">
        <v>48</v>
      </c>
    </row>
    <row r="121" spans="1:32" ht="30" hidden="1" customHeight="1" x14ac:dyDescent="0.35">
      <c r="A121" s="5" t="s">
        <v>165</v>
      </c>
      <c r="B121" s="5" t="s">
        <v>63</v>
      </c>
      <c r="C121" s="5" t="s">
        <v>258</v>
      </c>
      <c r="D121" s="5" t="s">
        <v>34</v>
      </c>
      <c r="E121" s="6" t="s">
        <v>243</v>
      </c>
      <c r="F121" s="5" t="s">
        <v>35</v>
      </c>
      <c r="G121" s="5" t="s">
        <v>244</v>
      </c>
      <c r="H121" s="5" t="s">
        <v>37</v>
      </c>
      <c r="I121" s="5" t="s">
        <v>259</v>
      </c>
      <c r="J121" s="5">
        <v>5</v>
      </c>
      <c r="K121" s="5"/>
      <c r="L121" s="5"/>
      <c r="M121" s="5"/>
      <c r="N121" s="5"/>
      <c r="O121" s="5"/>
      <c r="P121" s="5" t="str">
        <f t="shared" si="0"/>
        <v>Heterogeneous</v>
      </c>
      <c r="Q121" s="5" t="s">
        <v>260</v>
      </c>
      <c r="R121" s="5" t="str">
        <f t="shared" si="4"/>
        <v>insignificant</v>
      </c>
      <c r="S121" s="5">
        <v>0.88743000000000005</v>
      </c>
      <c r="T121" s="5">
        <v>0.37</v>
      </c>
      <c r="U121" s="5" t="s">
        <v>136</v>
      </c>
      <c r="V121" s="7" t="s">
        <v>40</v>
      </c>
      <c r="W121" s="7" t="s">
        <v>41</v>
      </c>
      <c r="X121" s="5" t="s">
        <v>43</v>
      </c>
      <c r="Y121" s="5" t="s">
        <v>43</v>
      </c>
      <c r="Z121" s="5" t="s">
        <v>44</v>
      </c>
      <c r="AA121" s="5" t="s">
        <v>78</v>
      </c>
      <c r="AB121" s="5" t="s">
        <v>46</v>
      </c>
      <c r="AC121" s="5" t="s">
        <v>46</v>
      </c>
      <c r="AD121" s="5" t="s">
        <v>46</v>
      </c>
      <c r="AE121" s="5" t="s">
        <v>47</v>
      </c>
      <c r="AF121" s="5" t="s">
        <v>48</v>
      </c>
    </row>
    <row r="122" spans="1:32" ht="30" hidden="1" customHeight="1" x14ac:dyDescent="0.35">
      <c r="A122" s="5" t="s">
        <v>165</v>
      </c>
      <c r="B122" s="5" t="s">
        <v>67</v>
      </c>
      <c r="C122" s="5" t="s">
        <v>261</v>
      </c>
      <c r="D122" s="5" t="s">
        <v>34</v>
      </c>
      <c r="E122" s="6" t="s">
        <v>262</v>
      </c>
      <c r="F122" s="5" t="s">
        <v>35</v>
      </c>
      <c r="G122" s="5" t="s">
        <v>263</v>
      </c>
      <c r="H122" s="5" t="s">
        <v>37</v>
      </c>
      <c r="I122" s="5" t="s">
        <v>264</v>
      </c>
      <c r="J122" s="5">
        <v>34</v>
      </c>
      <c r="K122" s="5"/>
      <c r="L122" s="5"/>
      <c r="M122" s="5"/>
      <c r="N122" s="5"/>
      <c r="O122" s="5"/>
      <c r="P122" s="5" t="str">
        <f t="shared" si="0"/>
        <v>Heterogeneous</v>
      </c>
      <c r="Q122" s="5">
        <v>65</v>
      </c>
      <c r="R122" s="5" t="str">
        <f t="shared" si="4"/>
        <v>insignificant</v>
      </c>
      <c r="S122" s="5">
        <v>0.33810000000000001</v>
      </c>
      <c r="T122" s="5" t="s">
        <v>265</v>
      </c>
      <c r="U122" s="5">
        <v>0.38</v>
      </c>
      <c r="V122" s="7" t="s">
        <v>115</v>
      </c>
      <c r="W122" s="7" t="s">
        <v>116</v>
      </c>
      <c r="X122" s="5" t="s">
        <v>42</v>
      </c>
      <c r="Y122" s="5" t="s">
        <v>43</v>
      </c>
      <c r="Z122" s="5" t="s">
        <v>44</v>
      </c>
      <c r="AA122" s="5" t="s">
        <v>43</v>
      </c>
      <c r="AB122" s="5" t="s">
        <v>76</v>
      </c>
      <c r="AC122" s="5" t="s">
        <v>46</v>
      </c>
      <c r="AD122" s="5" t="s">
        <v>46</v>
      </c>
      <c r="AE122" s="5" t="s">
        <v>47</v>
      </c>
      <c r="AF122" s="5" t="s">
        <v>48</v>
      </c>
    </row>
    <row r="123" spans="1:32" ht="30" hidden="1" customHeight="1" x14ac:dyDescent="0.35">
      <c r="A123" s="5" t="s">
        <v>58</v>
      </c>
      <c r="B123" s="5" t="s">
        <v>67</v>
      </c>
      <c r="C123" s="5" t="s">
        <v>261</v>
      </c>
      <c r="D123" s="5" t="s">
        <v>34</v>
      </c>
      <c r="E123" s="6" t="s">
        <v>262</v>
      </c>
      <c r="F123" s="5" t="s">
        <v>35</v>
      </c>
      <c r="G123" s="5" t="s">
        <v>263</v>
      </c>
      <c r="H123" s="5" t="s">
        <v>37</v>
      </c>
      <c r="I123" s="5" t="s">
        <v>266</v>
      </c>
      <c r="J123" s="5">
        <v>7</v>
      </c>
      <c r="K123" s="5"/>
      <c r="L123" s="5"/>
      <c r="M123" s="5"/>
      <c r="N123" s="5"/>
      <c r="O123" s="5"/>
      <c r="P123" s="5" t="str">
        <f t="shared" si="0"/>
        <v>Heterogeneous</v>
      </c>
      <c r="Q123" s="5">
        <v>87</v>
      </c>
      <c r="R123" s="5" t="str">
        <f t="shared" si="4"/>
        <v>insignificant</v>
      </c>
      <c r="S123" s="5">
        <v>0.87219999999999998</v>
      </c>
      <c r="T123" s="5" t="s">
        <v>265</v>
      </c>
      <c r="U123" s="5"/>
      <c r="V123" s="7" t="s">
        <v>115</v>
      </c>
      <c r="W123" s="7" t="s">
        <v>116</v>
      </c>
      <c r="X123" s="5" t="s">
        <v>42</v>
      </c>
      <c r="Y123" s="5" t="s">
        <v>43</v>
      </c>
      <c r="Z123" s="5" t="s">
        <v>44</v>
      </c>
      <c r="AA123" s="5" t="s">
        <v>45</v>
      </c>
      <c r="AB123" s="5" t="s">
        <v>76</v>
      </c>
      <c r="AC123" s="5" t="s">
        <v>46</v>
      </c>
      <c r="AD123" s="5" t="s">
        <v>46</v>
      </c>
      <c r="AE123" s="5" t="s">
        <v>47</v>
      </c>
      <c r="AF123" s="5" t="s">
        <v>48</v>
      </c>
    </row>
    <row r="124" spans="1:32" ht="30" hidden="1" customHeight="1" x14ac:dyDescent="0.35">
      <c r="A124" s="5" t="s">
        <v>61</v>
      </c>
      <c r="B124" s="5" t="s">
        <v>67</v>
      </c>
      <c r="C124" s="5" t="s">
        <v>267</v>
      </c>
      <c r="D124" s="5" t="s">
        <v>34</v>
      </c>
      <c r="E124" s="6" t="s">
        <v>262</v>
      </c>
      <c r="F124" s="5" t="s">
        <v>35</v>
      </c>
      <c r="G124" s="5" t="s">
        <v>263</v>
      </c>
      <c r="H124" s="5" t="s">
        <v>37</v>
      </c>
      <c r="I124" s="5" t="s">
        <v>268</v>
      </c>
      <c r="J124" s="5">
        <v>6</v>
      </c>
      <c r="K124" s="5"/>
      <c r="L124" s="5"/>
      <c r="M124" s="5"/>
      <c r="N124" s="5"/>
      <c r="O124" s="5"/>
      <c r="P124" s="5" t="str">
        <f t="shared" si="0"/>
        <v>Heterogeneous</v>
      </c>
      <c r="Q124" s="5">
        <v>68</v>
      </c>
      <c r="R124" s="5" t="str">
        <f t="shared" si="4"/>
        <v>insignificant</v>
      </c>
      <c r="S124" s="5">
        <v>0.11020000000000001</v>
      </c>
      <c r="T124" s="5" t="s">
        <v>265</v>
      </c>
      <c r="U124" s="5"/>
      <c r="V124" s="7" t="s">
        <v>115</v>
      </c>
      <c r="W124" s="7" t="s">
        <v>116</v>
      </c>
      <c r="X124" s="5" t="s">
        <v>42</v>
      </c>
      <c r="Y124" s="5" t="s">
        <v>43</v>
      </c>
      <c r="Z124" s="5" t="s">
        <v>44</v>
      </c>
      <c r="AA124" s="5" t="s">
        <v>45</v>
      </c>
      <c r="AB124" s="5" t="s">
        <v>76</v>
      </c>
      <c r="AC124" s="5" t="s">
        <v>46</v>
      </c>
      <c r="AD124" s="5" t="s">
        <v>46</v>
      </c>
      <c r="AE124" s="5" t="s">
        <v>47</v>
      </c>
      <c r="AF124" s="5" t="s">
        <v>48</v>
      </c>
    </row>
    <row r="125" spans="1:32" ht="30" hidden="1" customHeight="1" x14ac:dyDescent="0.35">
      <c r="A125" s="5" t="s">
        <v>61</v>
      </c>
      <c r="B125" s="5" t="s">
        <v>67</v>
      </c>
      <c r="C125" s="5" t="s">
        <v>261</v>
      </c>
      <c r="D125" s="5" t="s">
        <v>34</v>
      </c>
      <c r="E125" s="6" t="s">
        <v>262</v>
      </c>
      <c r="F125" s="5" t="s">
        <v>35</v>
      </c>
      <c r="G125" s="5" t="s">
        <v>263</v>
      </c>
      <c r="H125" s="5" t="s">
        <v>37</v>
      </c>
      <c r="I125" s="5" t="s">
        <v>269</v>
      </c>
      <c r="J125" s="5">
        <v>11</v>
      </c>
      <c r="K125" s="5"/>
      <c r="L125" s="5"/>
      <c r="M125" s="5"/>
      <c r="N125" s="5"/>
      <c r="O125" s="5"/>
      <c r="P125" s="5" t="str">
        <f t="shared" si="0"/>
        <v>Not heterogeneous</v>
      </c>
      <c r="Q125" s="5">
        <v>47</v>
      </c>
      <c r="R125" s="5" t="str">
        <f t="shared" si="4"/>
        <v>insignificant</v>
      </c>
      <c r="S125" s="5">
        <v>0.64610000000000001</v>
      </c>
      <c r="T125" s="5">
        <v>0.04</v>
      </c>
      <c r="U125" s="5"/>
      <c r="V125" s="7" t="s">
        <v>115</v>
      </c>
      <c r="W125" s="7" t="s">
        <v>116</v>
      </c>
      <c r="X125" s="5" t="s">
        <v>55</v>
      </c>
      <c r="Y125" s="5" t="s">
        <v>43</v>
      </c>
      <c r="Z125" s="5" t="s">
        <v>44</v>
      </c>
      <c r="AA125" s="5" t="s">
        <v>45</v>
      </c>
      <c r="AB125" s="5" t="s">
        <v>76</v>
      </c>
      <c r="AC125" s="5" t="s">
        <v>46</v>
      </c>
      <c r="AD125" s="5" t="s">
        <v>46</v>
      </c>
      <c r="AE125" s="5" t="s">
        <v>47</v>
      </c>
      <c r="AF125" s="5" t="s">
        <v>48</v>
      </c>
    </row>
    <row r="126" spans="1:32" ht="30" hidden="1" customHeight="1" x14ac:dyDescent="0.35">
      <c r="A126" s="5" t="s">
        <v>182</v>
      </c>
      <c r="B126" s="5" t="s">
        <v>67</v>
      </c>
      <c r="C126" s="5" t="s">
        <v>267</v>
      </c>
      <c r="D126" s="5" t="s">
        <v>34</v>
      </c>
      <c r="E126" s="6" t="s">
        <v>262</v>
      </c>
      <c r="F126" s="5" t="s">
        <v>35</v>
      </c>
      <c r="G126" s="5" t="s">
        <v>263</v>
      </c>
      <c r="H126" s="5" t="s">
        <v>37</v>
      </c>
      <c r="I126" s="5" t="s">
        <v>270</v>
      </c>
      <c r="J126" s="5">
        <v>1</v>
      </c>
      <c r="K126" s="5"/>
      <c r="L126" s="5"/>
      <c r="M126" s="5"/>
      <c r="N126" s="5"/>
      <c r="O126" s="5"/>
      <c r="P126" s="5" t="str">
        <f t="shared" si="0"/>
        <v/>
      </c>
      <c r="Q126" s="5"/>
      <c r="R126" s="5" t="str">
        <f t="shared" si="4"/>
        <v>insignificant</v>
      </c>
      <c r="S126" s="5">
        <v>1</v>
      </c>
      <c r="T126" s="5"/>
      <c r="U126" s="5"/>
      <c r="V126" s="7" t="s">
        <v>115</v>
      </c>
      <c r="W126" s="7" t="s">
        <v>116</v>
      </c>
      <c r="X126" s="5" t="s">
        <v>78</v>
      </c>
      <c r="Y126" s="5" t="s">
        <v>43</v>
      </c>
      <c r="Z126" s="5" t="s">
        <v>44</v>
      </c>
      <c r="AA126" s="5" t="s">
        <v>45</v>
      </c>
      <c r="AB126" s="5" t="s">
        <v>76</v>
      </c>
      <c r="AC126" s="5" t="s">
        <v>46</v>
      </c>
      <c r="AD126" s="5" t="s">
        <v>46</v>
      </c>
      <c r="AE126" s="5" t="s">
        <v>47</v>
      </c>
      <c r="AF126" s="5" t="s">
        <v>48</v>
      </c>
    </row>
    <row r="127" spans="1:32" ht="30" hidden="1" customHeight="1" x14ac:dyDescent="0.35">
      <c r="A127" s="5" t="s">
        <v>182</v>
      </c>
      <c r="B127" s="5" t="s">
        <v>67</v>
      </c>
      <c r="C127" s="5" t="s">
        <v>261</v>
      </c>
      <c r="D127" s="5" t="s">
        <v>34</v>
      </c>
      <c r="E127" s="6" t="s">
        <v>262</v>
      </c>
      <c r="F127" s="5" t="s">
        <v>35</v>
      </c>
      <c r="G127" s="5" t="s">
        <v>263</v>
      </c>
      <c r="H127" s="5" t="s">
        <v>37</v>
      </c>
      <c r="I127" s="5" t="s">
        <v>271</v>
      </c>
      <c r="J127" s="5">
        <v>2</v>
      </c>
      <c r="K127" s="5"/>
      <c r="L127" s="5"/>
      <c r="M127" s="5"/>
      <c r="N127" s="5"/>
      <c r="O127" s="5"/>
      <c r="P127" s="5" t="str">
        <f t="shared" si="0"/>
        <v>Heterogeneous</v>
      </c>
      <c r="Q127" s="5" t="s">
        <v>86</v>
      </c>
      <c r="R127" s="5" t="str">
        <f t="shared" si="4"/>
        <v>insignificant</v>
      </c>
      <c r="S127" s="5">
        <v>0.42649999999999999</v>
      </c>
      <c r="T127" s="5">
        <v>0.45</v>
      </c>
      <c r="U127" s="5"/>
      <c r="V127" s="7" t="s">
        <v>115</v>
      </c>
      <c r="W127" s="7" t="s">
        <v>116</v>
      </c>
      <c r="X127" s="5" t="s">
        <v>43</v>
      </c>
      <c r="Y127" s="5" t="s">
        <v>43</v>
      </c>
      <c r="Z127" s="5" t="s">
        <v>44</v>
      </c>
      <c r="AA127" s="5" t="s">
        <v>45</v>
      </c>
      <c r="AB127" s="5" t="s">
        <v>76</v>
      </c>
      <c r="AC127" s="5" t="s">
        <v>46</v>
      </c>
      <c r="AD127" s="5" t="s">
        <v>46</v>
      </c>
      <c r="AE127" s="5" t="s">
        <v>47</v>
      </c>
      <c r="AF127" s="5" t="s">
        <v>48</v>
      </c>
    </row>
    <row r="128" spans="1:32" ht="30" hidden="1" customHeight="1" x14ac:dyDescent="0.35">
      <c r="A128" s="5" t="s">
        <v>272</v>
      </c>
      <c r="B128" s="5" t="s">
        <v>67</v>
      </c>
      <c r="C128" s="5" t="s">
        <v>261</v>
      </c>
      <c r="D128" s="5" t="s">
        <v>34</v>
      </c>
      <c r="E128" s="6" t="s">
        <v>262</v>
      </c>
      <c r="F128" s="5" t="s">
        <v>35</v>
      </c>
      <c r="G128" s="5" t="s">
        <v>263</v>
      </c>
      <c r="H128" s="5" t="s">
        <v>37</v>
      </c>
      <c r="I128" s="5" t="s">
        <v>273</v>
      </c>
      <c r="J128" s="5">
        <v>7</v>
      </c>
      <c r="K128" s="5"/>
      <c r="L128" s="5"/>
      <c r="M128" s="5"/>
      <c r="N128" s="5"/>
      <c r="O128" s="5"/>
      <c r="P128" s="5" t="str">
        <f t="shared" si="0"/>
        <v>Heterogeneous</v>
      </c>
      <c r="Q128" s="5">
        <v>51</v>
      </c>
      <c r="R128" s="5" t="str">
        <f t="shared" si="4"/>
        <v>insignificant</v>
      </c>
      <c r="S128" s="5">
        <v>0.37669999999999998</v>
      </c>
      <c r="T128" s="5">
        <v>0.06</v>
      </c>
      <c r="U128" s="5"/>
      <c r="V128" s="7" t="s">
        <v>115</v>
      </c>
      <c r="W128" s="7" t="s">
        <v>116</v>
      </c>
      <c r="X128" s="5" t="s">
        <v>42</v>
      </c>
      <c r="Y128" s="5" t="s">
        <v>43</v>
      </c>
      <c r="Z128" s="5" t="s">
        <v>44</v>
      </c>
      <c r="AA128" s="5" t="s">
        <v>45</v>
      </c>
      <c r="AB128" s="5" t="s">
        <v>76</v>
      </c>
      <c r="AC128" s="5" t="s">
        <v>46</v>
      </c>
      <c r="AD128" s="5" t="s">
        <v>46</v>
      </c>
      <c r="AE128" s="5" t="s">
        <v>47</v>
      </c>
      <c r="AF128" s="5" t="s">
        <v>48</v>
      </c>
    </row>
    <row r="129" spans="1:32" ht="30" hidden="1" customHeight="1" x14ac:dyDescent="0.35">
      <c r="A129" s="5" t="s">
        <v>272</v>
      </c>
      <c r="B129" s="5" t="s">
        <v>67</v>
      </c>
      <c r="C129" s="5" t="s">
        <v>267</v>
      </c>
      <c r="D129" s="5" t="s">
        <v>34</v>
      </c>
      <c r="E129" s="6" t="s">
        <v>262</v>
      </c>
      <c r="F129" s="5" t="s">
        <v>35</v>
      </c>
      <c r="G129" s="5" t="s">
        <v>263</v>
      </c>
      <c r="H129" s="5" t="s">
        <v>37</v>
      </c>
      <c r="I129" s="5" t="s">
        <v>274</v>
      </c>
      <c r="J129" s="5">
        <v>3</v>
      </c>
      <c r="K129" s="5"/>
      <c r="L129" s="5"/>
      <c r="M129" s="5"/>
      <c r="N129" s="5"/>
      <c r="O129" s="5"/>
      <c r="P129" s="5" t="str">
        <f t="shared" si="0"/>
        <v>Heterogeneous</v>
      </c>
      <c r="Q129" s="5">
        <v>72</v>
      </c>
      <c r="R129" s="5" t="str">
        <f t="shared" si="4"/>
        <v>insignificant</v>
      </c>
      <c r="S129" s="5">
        <v>0.39360000000000001</v>
      </c>
      <c r="T129" s="5">
        <v>0.03</v>
      </c>
      <c r="U129" s="5"/>
      <c r="V129" s="7" t="s">
        <v>115</v>
      </c>
      <c r="W129" s="7" t="s">
        <v>116</v>
      </c>
      <c r="X129" s="5" t="s">
        <v>42</v>
      </c>
      <c r="Y129" s="5" t="s">
        <v>43</v>
      </c>
      <c r="Z129" s="5" t="s">
        <v>44</v>
      </c>
      <c r="AA129" s="5" t="s">
        <v>45</v>
      </c>
      <c r="AB129" s="5" t="s">
        <v>76</v>
      </c>
      <c r="AC129" s="5" t="s">
        <v>46</v>
      </c>
      <c r="AD129" s="5" t="s">
        <v>46</v>
      </c>
      <c r="AE129" s="5" t="s">
        <v>47</v>
      </c>
      <c r="AF129" s="5" t="s">
        <v>48</v>
      </c>
    </row>
    <row r="130" spans="1:32" ht="30" hidden="1" customHeight="1" x14ac:dyDescent="0.35">
      <c r="A130" s="5" t="s">
        <v>58</v>
      </c>
      <c r="B130" s="5" t="s">
        <v>67</v>
      </c>
      <c r="C130" s="5" t="s">
        <v>275</v>
      </c>
      <c r="D130" s="5" t="s">
        <v>34</v>
      </c>
      <c r="E130" s="6" t="s">
        <v>276</v>
      </c>
      <c r="F130" s="5" t="s">
        <v>35</v>
      </c>
      <c r="G130" s="5" t="s">
        <v>263</v>
      </c>
      <c r="H130" s="5" t="s">
        <v>73</v>
      </c>
      <c r="I130" s="5" t="s">
        <v>196</v>
      </c>
      <c r="J130" s="5" t="s">
        <v>45</v>
      </c>
      <c r="K130" s="5"/>
      <c r="L130" s="5"/>
      <c r="M130" s="5"/>
      <c r="N130" s="5"/>
      <c r="O130" s="5"/>
      <c r="P130" s="5" t="str">
        <f t="shared" si="0"/>
        <v/>
      </c>
      <c r="Q130" s="5"/>
      <c r="R130" s="5" t="str">
        <f t="shared" si="4"/>
        <v>insignificant</v>
      </c>
      <c r="S130" s="5">
        <v>0.134238</v>
      </c>
      <c r="T130" s="5"/>
      <c r="U130" s="5"/>
      <c r="V130" s="7" t="s">
        <v>115</v>
      </c>
      <c r="W130" s="7" t="s">
        <v>116</v>
      </c>
      <c r="X130" s="5" t="s">
        <v>78</v>
      </c>
      <c r="Y130" s="5" t="s">
        <v>43</v>
      </c>
      <c r="Z130" s="5" t="s">
        <v>44</v>
      </c>
      <c r="AA130" s="5" t="s">
        <v>45</v>
      </c>
      <c r="AB130" s="5" t="s">
        <v>76</v>
      </c>
      <c r="AC130" s="5" t="s">
        <v>46</v>
      </c>
      <c r="AD130" s="5" t="s">
        <v>46</v>
      </c>
      <c r="AE130" s="5" t="s">
        <v>47</v>
      </c>
      <c r="AF130" s="5" t="s">
        <v>48</v>
      </c>
    </row>
    <row r="131" spans="1:32" ht="30" hidden="1" customHeight="1" x14ac:dyDescent="0.35">
      <c r="A131" s="5" t="s">
        <v>32</v>
      </c>
      <c r="B131" s="5" t="s">
        <v>67</v>
      </c>
      <c r="C131" s="5" t="s">
        <v>275</v>
      </c>
      <c r="D131" s="5" t="s">
        <v>34</v>
      </c>
      <c r="E131" s="6" t="s">
        <v>276</v>
      </c>
      <c r="F131" s="5" t="s">
        <v>35</v>
      </c>
      <c r="G131" s="5" t="s">
        <v>263</v>
      </c>
      <c r="H131" s="5" t="s">
        <v>73</v>
      </c>
      <c r="I131" s="5" t="s">
        <v>277</v>
      </c>
      <c r="J131" s="5" t="s">
        <v>45</v>
      </c>
      <c r="K131" s="5"/>
      <c r="L131" s="5"/>
      <c r="M131" s="5"/>
      <c r="N131" s="5"/>
      <c r="O131" s="5"/>
      <c r="P131" s="5" t="str">
        <f t="shared" si="0"/>
        <v/>
      </c>
      <c r="Q131" s="5"/>
      <c r="R131" s="5" t="str">
        <f t="shared" si="4"/>
        <v>insignificant</v>
      </c>
      <c r="S131" s="5" t="s">
        <v>170</v>
      </c>
      <c r="T131" s="5">
        <v>0.59</v>
      </c>
      <c r="U131" s="5"/>
      <c r="V131" s="7" t="s">
        <v>115</v>
      </c>
      <c r="W131" s="7" t="s">
        <v>116</v>
      </c>
      <c r="X131" s="5" t="s">
        <v>78</v>
      </c>
      <c r="Y131" s="5" t="s">
        <v>43</v>
      </c>
      <c r="Z131" s="5" t="s">
        <v>44</v>
      </c>
      <c r="AA131" s="5" t="s">
        <v>45</v>
      </c>
      <c r="AB131" s="5" t="s">
        <v>76</v>
      </c>
      <c r="AC131" s="5" t="s">
        <v>46</v>
      </c>
      <c r="AD131" s="5" t="s">
        <v>46</v>
      </c>
      <c r="AE131" s="5" t="s">
        <v>47</v>
      </c>
      <c r="AF131" s="5" t="s">
        <v>66</v>
      </c>
    </row>
    <row r="132" spans="1:32" ht="30" hidden="1" customHeight="1" x14ac:dyDescent="0.35">
      <c r="A132" s="5" t="s">
        <v>61</v>
      </c>
      <c r="B132" s="5" t="s">
        <v>67</v>
      </c>
      <c r="C132" s="5" t="s">
        <v>275</v>
      </c>
      <c r="D132" s="5" t="s">
        <v>34</v>
      </c>
      <c r="E132" s="6" t="s">
        <v>276</v>
      </c>
      <c r="F132" s="5" t="s">
        <v>35</v>
      </c>
      <c r="G132" s="5" t="s">
        <v>263</v>
      </c>
      <c r="H132" s="5" t="s">
        <v>73</v>
      </c>
      <c r="I132" s="5" t="s">
        <v>278</v>
      </c>
      <c r="J132" s="5" t="s">
        <v>45</v>
      </c>
      <c r="K132" s="5"/>
      <c r="L132" s="5"/>
      <c r="M132" s="5"/>
      <c r="N132" s="5"/>
      <c r="O132" s="5"/>
      <c r="P132" s="5" t="str">
        <f t="shared" si="0"/>
        <v/>
      </c>
      <c r="Q132" s="5"/>
      <c r="R132" s="5" t="str">
        <f t="shared" si="4"/>
        <v>insignificant</v>
      </c>
      <c r="S132" s="5">
        <v>8.9648000000000005E-2</v>
      </c>
      <c r="T132" s="5"/>
      <c r="U132" s="5"/>
      <c r="V132" s="7" t="s">
        <v>115</v>
      </c>
      <c r="W132" s="7" t="s">
        <v>116</v>
      </c>
      <c r="X132" s="5" t="s">
        <v>78</v>
      </c>
      <c r="Y132" s="5" t="s">
        <v>43</v>
      </c>
      <c r="Z132" s="5" t="s">
        <v>44</v>
      </c>
      <c r="AA132" s="5" t="s">
        <v>45</v>
      </c>
      <c r="AB132" s="5" t="s">
        <v>76</v>
      </c>
      <c r="AC132" s="5" t="s">
        <v>46</v>
      </c>
      <c r="AD132" s="5" t="s">
        <v>46</v>
      </c>
      <c r="AE132" s="5" t="s">
        <v>47</v>
      </c>
      <c r="AF132" s="5" t="s">
        <v>48</v>
      </c>
    </row>
    <row r="133" spans="1:32" ht="30" hidden="1" customHeight="1" x14ac:dyDescent="0.35">
      <c r="A133" s="5" t="s">
        <v>165</v>
      </c>
      <c r="B133" s="5" t="s">
        <v>67</v>
      </c>
      <c r="C133" s="5" t="s">
        <v>267</v>
      </c>
      <c r="D133" s="5" t="s">
        <v>34</v>
      </c>
      <c r="E133" s="6" t="s">
        <v>262</v>
      </c>
      <c r="F133" s="5" t="s">
        <v>35</v>
      </c>
      <c r="G133" s="5" t="s">
        <v>263</v>
      </c>
      <c r="H133" s="5" t="s">
        <v>37</v>
      </c>
      <c r="I133" s="5" t="s">
        <v>279</v>
      </c>
      <c r="J133" s="5">
        <v>19</v>
      </c>
      <c r="K133" s="5"/>
      <c r="L133" s="5"/>
      <c r="M133" s="5"/>
      <c r="N133" s="5"/>
      <c r="O133" s="5"/>
      <c r="P133" s="5" t="str">
        <f t="shared" si="0"/>
        <v>Heterogeneous</v>
      </c>
      <c r="Q133" s="5">
        <v>59</v>
      </c>
      <c r="R133" s="5" t="str">
        <f t="shared" si="4"/>
        <v>significant</v>
      </c>
      <c r="S133" s="5">
        <v>2.9429999999999999E-3</v>
      </c>
      <c r="T133" s="5" t="s">
        <v>265</v>
      </c>
      <c r="U133" s="5"/>
      <c r="V133" s="7" t="s">
        <v>115</v>
      </c>
      <c r="W133" s="7" t="s">
        <v>116</v>
      </c>
      <c r="X133" s="5" t="s">
        <v>42</v>
      </c>
      <c r="Y133" s="5" t="s">
        <v>43</v>
      </c>
      <c r="Z133" s="5" t="s">
        <v>56</v>
      </c>
      <c r="AA133" s="5" t="s">
        <v>45</v>
      </c>
      <c r="AB133" s="5" t="s">
        <v>76</v>
      </c>
      <c r="AC133" s="5" t="s">
        <v>46</v>
      </c>
      <c r="AD133" s="5" t="s">
        <v>46</v>
      </c>
      <c r="AE133" s="5" t="s">
        <v>75</v>
      </c>
      <c r="AF133" s="5" t="s">
        <v>66</v>
      </c>
    </row>
    <row r="134" spans="1:32" ht="30" hidden="1" customHeight="1" x14ac:dyDescent="0.35">
      <c r="A134" s="5" t="s">
        <v>58</v>
      </c>
      <c r="B134" s="5" t="s">
        <v>67</v>
      </c>
      <c r="C134" s="5" t="s">
        <v>267</v>
      </c>
      <c r="D134" s="5" t="s">
        <v>34</v>
      </c>
      <c r="E134" s="6" t="s">
        <v>262</v>
      </c>
      <c r="F134" s="5" t="s">
        <v>35</v>
      </c>
      <c r="G134" s="5" t="s">
        <v>263</v>
      </c>
      <c r="H134" s="5" t="s">
        <v>37</v>
      </c>
      <c r="I134" s="5" t="s">
        <v>280</v>
      </c>
      <c r="J134" s="5">
        <v>4</v>
      </c>
      <c r="K134" s="5"/>
      <c r="L134" s="5"/>
      <c r="M134" s="5"/>
      <c r="N134" s="5"/>
      <c r="O134" s="5"/>
      <c r="P134" s="5" t="str">
        <f t="shared" si="0"/>
        <v>Heterogeneous</v>
      </c>
      <c r="Q134" s="5">
        <v>57</v>
      </c>
      <c r="R134" s="5" t="str">
        <f t="shared" si="4"/>
        <v>significant</v>
      </c>
      <c r="S134" s="5">
        <v>3.8743E-2</v>
      </c>
      <c r="T134" s="5">
        <v>7.0000000000000007E-2</v>
      </c>
      <c r="U134" s="5"/>
      <c r="V134" s="7" t="s">
        <v>115</v>
      </c>
      <c r="W134" s="7" t="s">
        <v>116</v>
      </c>
      <c r="X134" s="5" t="s">
        <v>42</v>
      </c>
      <c r="Y134" s="5" t="s">
        <v>43</v>
      </c>
      <c r="Z134" s="5" t="s">
        <v>56</v>
      </c>
      <c r="AA134" s="5" t="s">
        <v>45</v>
      </c>
      <c r="AB134" s="5" t="s">
        <v>76</v>
      </c>
      <c r="AC134" s="5" t="s">
        <v>46</v>
      </c>
      <c r="AD134" s="5" t="s">
        <v>46</v>
      </c>
      <c r="AE134" s="5" t="s">
        <v>75</v>
      </c>
      <c r="AF134" s="5" t="s">
        <v>48</v>
      </c>
    </row>
    <row r="135" spans="1:32" ht="30" customHeight="1" x14ac:dyDescent="0.35">
      <c r="A135" s="5" t="s">
        <v>182</v>
      </c>
      <c r="B135" s="5" t="s">
        <v>33</v>
      </c>
      <c r="C135" s="5" t="s">
        <v>281</v>
      </c>
      <c r="D135" s="5" t="s">
        <v>34</v>
      </c>
      <c r="E135" s="6" t="s">
        <v>262</v>
      </c>
      <c r="F135" s="5" t="s">
        <v>35</v>
      </c>
      <c r="G135" s="5" t="s">
        <v>263</v>
      </c>
      <c r="H135" s="5" t="s">
        <v>37</v>
      </c>
      <c r="I135" s="5" t="s">
        <v>282</v>
      </c>
      <c r="J135" s="5">
        <v>3</v>
      </c>
      <c r="K135" s="5"/>
      <c r="L135" s="5"/>
      <c r="M135" s="5"/>
      <c r="N135" s="5"/>
      <c r="O135" s="5"/>
      <c r="P135" s="5" t="str">
        <f t="shared" si="0"/>
        <v/>
      </c>
      <c r="Q135" s="5"/>
      <c r="R135" s="5" t="str">
        <f t="shared" si="4"/>
        <v>insignificant</v>
      </c>
      <c r="S135" s="5">
        <v>0.57469999999999999</v>
      </c>
      <c r="T135" s="5"/>
      <c r="U135" s="5"/>
      <c r="V135" s="7" t="s">
        <v>115</v>
      </c>
      <c r="W135" s="7" t="s">
        <v>116</v>
      </c>
      <c r="X135" s="5" t="s">
        <v>78</v>
      </c>
      <c r="Y135" s="5" t="s">
        <v>43</v>
      </c>
      <c r="Z135" s="5" t="s">
        <v>44</v>
      </c>
      <c r="AA135" s="5" t="s">
        <v>45</v>
      </c>
      <c r="AB135" s="5" t="s">
        <v>76</v>
      </c>
      <c r="AC135" s="5" t="s">
        <v>46</v>
      </c>
      <c r="AD135" s="5" t="s">
        <v>46</v>
      </c>
      <c r="AE135" s="5" t="s">
        <v>47</v>
      </c>
      <c r="AF135" s="5" t="s">
        <v>48</v>
      </c>
    </row>
    <row r="136" spans="1:32" ht="30" customHeight="1" x14ac:dyDescent="0.35">
      <c r="A136" s="5" t="s">
        <v>272</v>
      </c>
      <c r="B136" s="5" t="s">
        <v>33</v>
      </c>
      <c r="C136" s="5" t="s">
        <v>281</v>
      </c>
      <c r="D136" s="5" t="s">
        <v>34</v>
      </c>
      <c r="E136" s="6" t="s">
        <v>262</v>
      </c>
      <c r="F136" s="5" t="s">
        <v>35</v>
      </c>
      <c r="G136" s="5" t="s">
        <v>263</v>
      </c>
      <c r="H136" s="5" t="s">
        <v>37</v>
      </c>
      <c r="I136" s="5" t="s">
        <v>283</v>
      </c>
      <c r="J136" s="5">
        <v>5</v>
      </c>
      <c r="K136" s="5"/>
      <c r="L136" s="5"/>
      <c r="M136" s="5"/>
      <c r="N136" s="5"/>
      <c r="O136" s="5"/>
      <c r="P136" s="5" t="str">
        <f t="shared" si="0"/>
        <v/>
      </c>
      <c r="Q136" s="5"/>
      <c r="R136" s="5" t="str">
        <f t="shared" si="4"/>
        <v>insignificant</v>
      </c>
      <c r="S136" s="5">
        <v>0.45140000000000002</v>
      </c>
      <c r="T136" s="5"/>
      <c r="U136" s="5"/>
      <c r="V136" s="7" t="s">
        <v>115</v>
      </c>
      <c r="W136" s="7" t="s">
        <v>116</v>
      </c>
      <c r="X136" s="5" t="s">
        <v>78</v>
      </c>
      <c r="Y136" s="5" t="s">
        <v>43</v>
      </c>
      <c r="Z136" s="5" t="s">
        <v>44</v>
      </c>
      <c r="AA136" s="5" t="s">
        <v>45</v>
      </c>
      <c r="AB136" s="5" t="s">
        <v>76</v>
      </c>
      <c r="AC136" s="5" t="s">
        <v>46</v>
      </c>
      <c r="AD136" s="5" t="s">
        <v>46</v>
      </c>
      <c r="AE136" s="5" t="s">
        <v>47</v>
      </c>
      <c r="AF136" s="5" t="s">
        <v>48</v>
      </c>
    </row>
    <row r="137" spans="1:32" ht="30" customHeight="1" x14ac:dyDescent="0.35">
      <c r="A137" s="5" t="s">
        <v>32</v>
      </c>
      <c r="B137" s="5" t="s">
        <v>33</v>
      </c>
      <c r="C137" s="5" t="s">
        <v>281</v>
      </c>
      <c r="D137" s="5" t="s">
        <v>34</v>
      </c>
      <c r="E137" s="6" t="s">
        <v>262</v>
      </c>
      <c r="F137" s="5" t="s">
        <v>35</v>
      </c>
      <c r="G137" s="5" t="s">
        <v>263</v>
      </c>
      <c r="H137" s="5" t="s">
        <v>37</v>
      </c>
      <c r="I137" s="5" t="s">
        <v>284</v>
      </c>
      <c r="J137" s="5">
        <v>3</v>
      </c>
      <c r="K137" s="5"/>
      <c r="L137" s="5"/>
      <c r="M137" s="5"/>
      <c r="N137" s="5"/>
      <c r="O137" s="5"/>
      <c r="P137" s="5" t="str">
        <f t="shared" si="0"/>
        <v/>
      </c>
      <c r="Q137" s="5"/>
      <c r="R137" s="5" t="str">
        <f t="shared" si="4"/>
        <v>insignificant</v>
      </c>
      <c r="S137" s="5">
        <v>0.41399999999999998</v>
      </c>
      <c r="T137" s="5"/>
      <c r="U137" s="5"/>
      <c r="V137" s="7" t="s">
        <v>115</v>
      </c>
      <c r="W137" s="7" t="s">
        <v>116</v>
      </c>
      <c r="X137" s="5" t="s">
        <v>78</v>
      </c>
      <c r="Y137" s="5" t="s">
        <v>43</v>
      </c>
      <c r="Z137" s="5" t="s">
        <v>44</v>
      </c>
      <c r="AA137" s="5" t="s">
        <v>45</v>
      </c>
      <c r="AB137" s="5" t="s">
        <v>76</v>
      </c>
      <c r="AC137" s="5" t="s">
        <v>46</v>
      </c>
      <c r="AD137" s="5" t="s">
        <v>46</v>
      </c>
      <c r="AE137" s="5" t="s">
        <v>47</v>
      </c>
      <c r="AF137" s="5" t="s">
        <v>48</v>
      </c>
    </row>
    <row r="138" spans="1:32" ht="30" customHeight="1" x14ac:dyDescent="0.35">
      <c r="A138" s="5" t="s">
        <v>61</v>
      </c>
      <c r="B138" s="5" t="s">
        <v>33</v>
      </c>
      <c r="C138" s="5" t="s">
        <v>281</v>
      </c>
      <c r="D138" s="5" t="s">
        <v>34</v>
      </c>
      <c r="E138" s="6" t="s">
        <v>262</v>
      </c>
      <c r="F138" s="5" t="s">
        <v>35</v>
      </c>
      <c r="G138" s="5" t="s">
        <v>263</v>
      </c>
      <c r="H138" s="5" t="s">
        <v>37</v>
      </c>
      <c r="I138" s="5" t="s">
        <v>285</v>
      </c>
      <c r="J138" s="5">
        <v>7</v>
      </c>
      <c r="K138" s="5"/>
      <c r="L138" s="5"/>
      <c r="M138" s="5"/>
      <c r="N138" s="5"/>
      <c r="O138" s="5"/>
      <c r="P138" s="5" t="str">
        <f t="shared" si="0"/>
        <v/>
      </c>
      <c r="Q138" s="5"/>
      <c r="R138" s="5" t="str">
        <f t="shared" si="4"/>
        <v>insignificant</v>
      </c>
      <c r="S138" s="5">
        <v>0.9385</v>
      </c>
      <c r="T138" s="5"/>
      <c r="U138" s="5"/>
      <c r="V138" s="7" t="s">
        <v>115</v>
      </c>
      <c r="W138" s="7" t="s">
        <v>116</v>
      </c>
      <c r="X138" s="5" t="s">
        <v>78</v>
      </c>
      <c r="Y138" s="5" t="s">
        <v>43</v>
      </c>
      <c r="Z138" s="5" t="s">
        <v>44</v>
      </c>
      <c r="AA138" s="5" t="s">
        <v>45</v>
      </c>
      <c r="AB138" s="5" t="s">
        <v>76</v>
      </c>
      <c r="AC138" s="5" t="s">
        <v>46</v>
      </c>
      <c r="AD138" s="5" t="s">
        <v>46</v>
      </c>
      <c r="AE138" s="5" t="s">
        <v>47</v>
      </c>
      <c r="AF138" s="5" t="s">
        <v>48</v>
      </c>
    </row>
    <row r="139" spans="1:32" ht="30" customHeight="1" x14ac:dyDescent="0.35">
      <c r="A139" s="5" t="s">
        <v>32</v>
      </c>
      <c r="B139" s="5" t="s">
        <v>33</v>
      </c>
      <c r="C139" s="5" t="s">
        <v>286</v>
      </c>
      <c r="D139" s="5" t="s">
        <v>34</v>
      </c>
      <c r="E139" s="6" t="s">
        <v>276</v>
      </c>
      <c r="F139" s="5" t="s">
        <v>35</v>
      </c>
      <c r="G139" s="5" t="s">
        <v>263</v>
      </c>
      <c r="H139" s="5" t="s">
        <v>73</v>
      </c>
      <c r="I139" s="5" t="s">
        <v>287</v>
      </c>
      <c r="J139" s="5">
        <v>3</v>
      </c>
      <c r="K139" s="5"/>
      <c r="L139" s="5"/>
      <c r="M139" s="5"/>
      <c r="N139" s="5"/>
      <c r="O139" s="5"/>
      <c r="P139" s="5" t="str">
        <f t="shared" si="0"/>
        <v>Heterogeneous</v>
      </c>
      <c r="Q139" s="5" t="s">
        <v>86</v>
      </c>
      <c r="R139" s="5" t="str">
        <f t="shared" si="4"/>
        <v>insignificant</v>
      </c>
      <c r="S139" s="5">
        <v>1</v>
      </c>
      <c r="T139" s="5">
        <v>0.79</v>
      </c>
      <c r="U139" s="5"/>
      <c r="V139" s="7" t="s">
        <v>115</v>
      </c>
      <c r="W139" s="7" t="s">
        <v>116</v>
      </c>
      <c r="X139" s="5" t="s">
        <v>43</v>
      </c>
      <c r="Y139" s="5" t="s">
        <v>43</v>
      </c>
      <c r="Z139" s="5" t="s">
        <v>44</v>
      </c>
      <c r="AA139" s="5" t="s">
        <v>45</v>
      </c>
      <c r="AB139" s="5" t="s">
        <v>76</v>
      </c>
      <c r="AC139" s="5" t="s">
        <v>46</v>
      </c>
      <c r="AD139" s="5" t="s">
        <v>46</v>
      </c>
      <c r="AE139" s="5" t="s">
        <v>47</v>
      </c>
      <c r="AF139" s="5" t="s">
        <v>48</v>
      </c>
    </row>
    <row r="140" spans="1:32" ht="30" customHeight="1" x14ac:dyDescent="0.35">
      <c r="A140" s="5" t="s">
        <v>58</v>
      </c>
      <c r="B140" s="5" t="s">
        <v>33</v>
      </c>
      <c r="C140" s="5" t="s">
        <v>281</v>
      </c>
      <c r="D140" s="5" t="s">
        <v>34</v>
      </c>
      <c r="E140" s="6" t="s">
        <v>262</v>
      </c>
      <c r="F140" s="5" t="s">
        <v>35</v>
      </c>
      <c r="G140" s="6" t="s">
        <v>263</v>
      </c>
      <c r="H140" s="5" t="s">
        <v>37</v>
      </c>
      <c r="I140" s="5" t="s">
        <v>288</v>
      </c>
      <c r="J140" s="5">
        <v>6</v>
      </c>
      <c r="K140" s="5"/>
      <c r="L140" s="5"/>
      <c r="M140" s="5"/>
      <c r="N140" s="5"/>
      <c r="O140" s="5"/>
      <c r="P140" s="5" t="str">
        <f t="shared" si="0"/>
        <v/>
      </c>
      <c r="Q140" s="5"/>
      <c r="R140" s="5" t="str">
        <f t="shared" si="4"/>
        <v>insignificant</v>
      </c>
      <c r="S140" s="5">
        <v>0.50347200000000003</v>
      </c>
      <c r="T140" s="5"/>
      <c r="U140" s="5"/>
      <c r="V140" s="7" t="s">
        <v>115</v>
      </c>
      <c r="W140" s="7" t="s">
        <v>116</v>
      </c>
      <c r="X140" s="5" t="s">
        <v>78</v>
      </c>
      <c r="Y140" s="5" t="s">
        <v>43</v>
      </c>
      <c r="Z140" s="5" t="s">
        <v>44</v>
      </c>
      <c r="AA140" s="5" t="s">
        <v>45</v>
      </c>
      <c r="AB140" s="5" t="s">
        <v>76</v>
      </c>
      <c r="AC140" s="5" t="s">
        <v>46</v>
      </c>
      <c r="AD140" s="5" t="s">
        <v>46</v>
      </c>
      <c r="AE140" s="5" t="s">
        <v>47</v>
      </c>
      <c r="AF140" s="5" t="s">
        <v>48</v>
      </c>
    </row>
    <row r="141" spans="1:32" ht="30" customHeight="1" x14ac:dyDescent="0.35">
      <c r="A141" s="5" t="s">
        <v>58</v>
      </c>
      <c r="B141" s="5" t="s">
        <v>33</v>
      </c>
      <c r="C141" s="5" t="s">
        <v>286</v>
      </c>
      <c r="D141" s="5" t="s">
        <v>34</v>
      </c>
      <c r="E141" s="6" t="s">
        <v>276</v>
      </c>
      <c r="F141" s="5" t="s">
        <v>35</v>
      </c>
      <c r="G141" s="6" t="s">
        <v>263</v>
      </c>
      <c r="H141" s="5" t="s">
        <v>73</v>
      </c>
      <c r="I141" s="5" t="s">
        <v>289</v>
      </c>
      <c r="J141" s="5">
        <v>3</v>
      </c>
      <c r="K141" s="5"/>
      <c r="L141" s="5"/>
      <c r="M141" s="5"/>
      <c r="N141" s="5"/>
      <c r="O141" s="5"/>
      <c r="P141" s="5" t="str">
        <f t="shared" si="0"/>
        <v>Heterogeneous</v>
      </c>
      <c r="Q141" s="5" t="s">
        <v>290</v>
      </c>
      <c r="R141" s="5" t="str">
        <f t="shared" si="4"/>
        <v>insignificant</v>
      </c>
      <c r="S141" s="5">
        <v>0.48235600000000001</v>
      </c>
      <c r="T141" s="5">
        <v>0.12</v>
      </c>
      <c r="U141" s="5"/>
      <c r="V141" s="7" t="s">
        <v>115</v>
      </c>
      <c r="W141" s="7" t="s">
        <v>116</v>
      </c>
      <c r="X141" s="5" t="s">
        <v>43</v>
      </c>
      <c r="Y141" s="5" t="s">
        <v>43</v>
      </c>
      <c r="Z141" s="5" t="s">
        <v>44</v>
      </c>
      <c r="AA141" s="5" t="s">
        <v>45</v>
      </c>
      <c r="AB141" s="5" t="s">
        <v>76</v>
      </c>
      <c r="AC141" s="5" t="s">
        <v>46</v>
      </c>
      <c r="AD141" s="5" t="s">
        <v>46</v>
      </c>
      <c r="AE141" s="5" t="s">
        <v>47</v>
      </c>
      <c r="AF141" s="5" t="s">
        <v>48</v>
      </c>
    </row>
    <row r="142" spans="1:32" ht="30" customHeight="1" x14ac:dyDescent="0.35">
      <c r="A142" s="5" t="s">
        <v>61</v>
      </c>
      <c r="B142" s="5" t="s">
        <v>33</v>
      </c>
      <c r="C142" s="5" t="s">
        <v>286</v>
      </c>
      <c r="D142" s="5" t="s">
        <v>34</v>
      </c>
      <c r="E142" s="6" t="s">
        <v>276</v>
      </c>
      <c r="F142" s="5" t="s">
        <v>35</v>
      </c>
      <c r="G142" s="5" t="s">
        <v>263</v>
      </c>
      <c r="H142" s="5" t="s">
        <v>73</v>
      </c>
      <c r="I142" s="5" t="s">
        <v>291</v>
      </c>
      <c r="J142" s="5">
        <v>2</v>
      </c>
      <c r="K142" s="5"/>
      <c r="L142" s="5"/>
      <c r="M142" s="5"/>
      <c r="N142" s="5"/>
      <c r="O142" s="5"/>
      <c r="P142" s="5" t="str">
        <f t="shared" si="0"/>
        <v>Heterogeneous</v>
      </c>
      <c r="Q142" s="5" t="s">
        <v>86</v>
      </c>
      <c r="R142" s="5" t="str">
        <f t="shared" si="4"/>
        <v>insignificant</v>
      </c>
      <c r="S142" s="5">
        <v>6.8013000000000004E-2</v>
      </c>
      <c r="T142" s="5">
        <v>0.49</v>
      </c>
      <c r="U142" s="5"/>
      <c r="V142" s="7" t="s">
        <v>115</v>
      </c>
      <c r="W142" s="7" t="s">
        <v>116</v>
      </c>
      <c r="X142" s="5" t="s">
        <v>43</v>
      </c>
      <c r="Y142" s="5" t="s">
        <v>43</v>
      </c>
      <c r="Z142" s="5" t="s">
        <v>44</v>
      </c>
      <c r="AA142" s="5" t="s">
        <v>45</v>
      </c>
      <c r="AB142" s="5" t="s">
        <v>76</v>
      </c>
      <c r="AC142" s="5" t="s">
        <v>46</v>
      </c>
      <c r="AD142" s="5" t="s">
        <v>46</v>
      </c>
      <c r="AE142" s="5" t="s">
        <v>47</v>
      </c>
      <c r="AF142" s="5" t="s">
        <v>48</v>
      </c>
    </row>
    <row r="143" spans="1:32" ht="30" hidden="1" customHeight="1" x14ac:dyDescent="0.35">
      <c r="A143" s="5" t="s">
        <v>165</v>
      </c>
      <c r="B143" s="5" t="s">
        <v>63</v>
      </c>
      <c r="C143" s="5" t="s">
        <v>292</v>
      </c>
      <c r="D143" s="5" t="s">
        <v>34</v>
      </c>
      <c r="E143" s="6" t="s">
        <v>262</v>
      </c>
      <c r="F143" s="5" t="s">
        <v>35</v>
      </c>
      <c r="G143" s="5" t="s">
        <v>263</v>
      </c>
      <c r="H143" s="5" t="s">
        <v>37</v>
      </c>
      <c r="I143" s="5" t="s">
        <v>293</v>
      </c>
      <c r="J143" s="5">
        <v>25</v>
      </c>
      <c r="K143" s="5"/>
      <c r="L143" s="5"/>
      <c r="M143" s="5"/>
      <c r="N143" s="5"/>
      <c r="O143" s="5"/>
      <c r="P143" s="5" t="str">
        <f t="shared" si="0"/>
        <v>Heterogeneous</v>
      </c>
      <c r="Q143" s="5">
        <v>67</v>
      </c>
      <c r="R143" s="5" t="str">
        <f t="shared" si="4"/>
        <v>significant</v>
      </c>
      <c r="S143" s="9">
        <v>6.0000000000000002E-6</v>
      </c>
      <c r="T143" s="5" t="s">
        <v>294</v>
      </c>
      <c r="U143" s="5"/>
      <c r="V143" s="7" t="s">
        <v>115</v>
      </c>
      <c r="W143" s="7" t="s">
        <v>116</v>
      </c>
      <c r="X143" s="5" t="s">
        <v>42</v>
      </c>
      <c r="Y143" s="5" t="s">
        <v>43</v>
      </c>
      <c r="Z143" s="5" t="s">
        <v>56</v>
      </c>
      <c r="AA143" s="5" t="s">
        <v>45</v>
      </c>
      <c r="AB143" s="5" t="s">
        <v>76</v>
      </c>
      <c r="AC143" s="5" t="s">
        <v>46</v>
      </c>
      <c r="AD143" s="5" t="s">
        <v>46</v>
      </c>
      <c r="AE143" s="5" t="s">
        <v>47</v>
      </c>
      <c r="AF143" s="5" t="s">
        <v>57</v>
      </c>
    </row>
    <row r="144" spans="1:32" ht="30" hidden="1" customHeight="1" x14ac:dyDescent="0.35">
      <c r="A144" s="5" t="s">
        <v>165</v>
      </c>
      <c r="B144" s="5" t="s">
        <v>63</v>
      </c>
      <c r="C144" s="5" t="s">
        <v>295</v>
      </c>
      <c r="D144" s="5" t="s">
        <v>34</v>
      </c>
      <c r="E144" s="6" t="s">
        <v>262</v>
      </c>
      <c r="F144" s="5" t="s">
        <v>35</v>
      </c>
      <c r="G144" s="5" t="s">
        <v>263</v>
      </c>
      <c r="H144" s="5" t="s">
        <v>37</v>
      </c>
      <c r="I144" s="5" t="s">
        <v>296</v>
      </c>
      <c r="J144" s="5">
        <v>25</v>
      </c>
      <c r="K144" s="5"/>
      <c r="L144" s="5"/>
      <c r="M144" s="5"/>
      <c r="N144" s="5"/>
      <c r="O144" s="5"/>
      <c r="P144" s="5" t="str">
        <f t="shared" si="0"/>
        <v>Not heterogeneous</v>
      </c>
      <c r="Q144" s="5">
        <v>33</v>
      </c>
      <c r="R144" s="5" t="str">
        <f t="shared" si="4"/>
        <v>insignificant</v>
      </c>
      <c r="S144" s="5">
        <v>0.48659999999999998</v>
      </c>
      <c r="T144" s="5">
        <v>0.06</v>
      </c>
      <c r="U144" s="5"/>
      <c r="V144" s="7" t="s">
        <v>115</v>
      </c>
      <c r="W144" s="7" t="s">
        <v>116</v>
      </c>
      <c r="X144" s="5" t="s">
        <v>55</v>
      </c>
      <c r="Y144" s="5" t="s">
        <v>43</v>
      </c>
      <c r="Z144" s="5" t="s">
        <v>44</v>
      </c>
      <c r="AA144" s="5" t="s">
        <v>45</v>
      </c>
      <c r="AB144" s="5" t="s">
        <v>76</v>
      </c>
      <c r="AC144" s="5" t="s">
        <v>46</v>
      </c>
      <c r="AD144" s="5" t="s">
        <v>46</v>
      </c>
      <c r="AE144" s="5" t="s">
        <v>47</v>
      </c>
      <c r="AF144" s="5" t="s">
        <v>48</v>
      </c>
    </row>
    <row r="145" spans="1:32" ht="30" hidden="1" customHeight="1" x14ac:dyDescent="0.35">
      <c r="A145" s="5" t="s">
        <v>32</v>
      </c>
      <c r="B145" s="5" t="s">
        <v>63</v>
      </c>
      <c r="C145" s="5" t="s">
        <v>292</v>
      </c>
      <c r="D145" s="5" t="s">
        <v>34</v>
      </c>
      <c r="E145" s="6" t="s">
        <v>262</v>
      </c>
      <c r="F145" s="5" t="s">
        <v>35</v>
      </c>
      <c r="G145" s="5" t="s">
        <v>263</v>
      </c>
      <c r="H145" s="5" t="s">
        <v>37</v>
      </c>
      <c r="I145" s="5" t="s">
        <v>297</v>
      </c>
      <c r="J145" s="5">
        <v>1</v>
      </c>
      <c r="K145" s="5"/>
      <c r="L145" s="5"/>
      <c r="M145" s="5"/>
      <c r="N145" s="5"/>
      <c r="O145" s="5"/>
      <c r="P145" s="5" t="str">
        <f t="shared" si="0"/>
        <v/>
      </c>
      <c r="Q145" s="5"/>
      <c r="R145" s="5" t="str">
        <f t="shared" si="4"/>
        <v>insignificant</v>
      </c>
      <c r="S145" s="5">
        <v>9.4200000000000006E-2</v>
      </c>
      <c r="T145" s="5" t="s">
        <v>294</v>
      </c>
      <c r="U145" s="5"/>
      <c r="V145" s="7" t="s">
        <v>115</v>
      </c>
      <c r="W145" s="7" t="s">
        <v>116</v>
      </c>
      <c r="X145" s="5" t="s">
        <v>55</v>
      </c>
      <c r="Y145" s="5" t="s">
        <v>43</v>
      </c>
      <c r="Z145" s="5" t="s">
        <v>44</v>
      </c>
      <c r="AA145" s="5" t="s">
        <v>45</v>
      </c>
      <c r="AB145" s="5" t="s">
        <v>76</v>
      </c>
      <c r="AC145" s="5" t="s">
        <v>46</v>
      </c>
      <c r="AD145" s="5" t="s">
        <v>46</v>
      </c>
      <c r="AE145" s="5" t="s">
        <v>47</v>
      </c>
      <c r="AF145" s="5" t="s">
        <v>48</v>
      </c>
    </row>
    <row r="146" spans="1:32" ht="30" hidden="1" customHeight="1" x14ac:dyDescent="0.35">
      <c r="A146" s="5" t="s">
        <v>32</v>
      </c>
      <c r="B146" s="5" t="s">
        <v>63</v>
      </c>
      <c r="C146" s="5" t="s">
        <v>295</v>
      </c>
      <c r="D146" s="5" t="s">
        <v>34</v>
      </c>
      <c r="E146" s="6" t="s">
        <v>262</v>
      </c>
      <c r="F146" s="5" t="s">
        <v>35</v>
      </c>
      <c r="G146" s="5" t="s">
        <v>263</v>
      </c>
      <c r="H146" s="5" t="s">
        <v>37</v>
      </c>
      <c r="I146" s="5" t="s">
        <v>298</v>
      </c>
      <c r="J146" s="5">
        <v>1</v>
      </c>
      <c r="K146" s="5"/>
      <c r="L146" s="5"/>
      <c r="M146" s="5"/>
      <c r="N146" s="5"/>
      <c r="O146" s="5"/>
      <c r="P146" s="5" t="str">
        <f t="shared" si="0"/>
        <v/>
      </c>
      <c r="Q146" s="5"/>
      <c r="R146" s="5" t="str">
        <f t="shared" si="4"/>
        <v>insignificant</v>
      </c>
      <c r="S146" s="5">
        <v>6.7500000000000004E-2</v>
      </c>
      <c r="T146" s="5">
        <v>0.06</v>
      </c>
      <c r="U146" s="5"/>
      <c r="V146" s="7" t="s">
        <v>115</v>
      </c>
      <c r="W146" s="7" t="s">
        <v>116</v>
      </c>
      <c r="X146" s="5" t="s">
        <v>43</v>
      </c>
      <c r="Y146" s="5" t="s">
        <v>43</v>
      </c>
      <c r="Z146" s="5" t="s">
        <v>44</v>
      </c>
      <c r="AA146" s="5" t="s">
        <v>45</v>
      </c>
      <c r="AB146" s="5" t="s">
        <v>76</v>
      </c>
      <c r="AC146" s="5" t="s">
        <v>76</v>
      </c>
      <c r="AD146" s="5" t="s">
        <v>46</v>
      </c>
      <c r="AE146" s="5" t="s">
        <v>75</v>
      </c>
      <c r="AF146" s="5" t="s">
        <v>48</v>
      </c>
    </row>
    <row r="147" spans="1:32" ht="30" hidden="1" customHeight="1" x14ac:dyDescent="0.35">
      <c r="A147" s="5" t="s">
        <v>61</v>
      </c>
      <c r="B147" s="5" t="s">
        <v>63</v>
      </c>
      <c r="C147" s="5" t="s">
        <v>292</v>
      </c>
      <c r="D147" s="5" t="s">
        <v>34</v>
      </c>
      <c r="E147" s="6" t="s">
        <v>262</v>
      </c>
      <c r="F147" s="5" t="s">
        <v>35</v>
      </c>
      <c r="G147" s="5" t="s">
        <v>263</v>
      </c>
      <c r="H147" s="5" t="s">
        <v>37</v>
      </c>
      <c r="I147" s="5" t="s">
        <v>299</v>
      </c>
      <c r="J147" s="5">
        <v>8</v>
      </c>
      <c r="K147" s="5"/>
      <c r="L147" s="5"/>
      <c r="M147" s="5"/>
      <c r="N147" s="5"/>
      <c r="O147" s="5"/>
      <c r="P147" s="5" t="str">
        <f t="shared" si="0"/>
        <v>Heterogeneous</v>
      </c>
      <c r="Q147" s="5">
        <v>78</v>
      </c>
      <c r="R147" s="5" t="str">
        <f t="shared" si="4"/>
        <v>insignificant</v>
      </c>
      <c r="S147" s="5">
        <v>0.12670000000000001</v>
      </c>
      <c r="T147" s="5" t="s">
        <v>265</v>
      </c>
      <c r="U147" s="5"/>
      <c r="V147" s="7" t="s">
        <v>115</v>
      </c>
      <c r="W147" s="7" t="s">
        <v>116</v>
      </c>
      <c r="X147" s="5" t="s">
        <v>42</v>
      </c>
      <c r="Y147" s="5" t="s">
        <v>43</v>
      </c>
      <c r="Z147" s="5" t="s">
        <v>44</v>
      </c>
      <c r="AA147" s="5" t="s">
        <v>45</v>
      </c>
      <c r="AB147" s="5" t="s">
        <v>76</v>
      </c>
      <c r="AC147" s="5" t="s">
        <v>46</v>
      </c>
      <c r="AD147" s="5" t="s">
        <v>46</v>
      </c>
      <c r="AE147" s="5" t="s">
        <v>47</v>
      </c>
      <c r="AF147" s="5" t="s">
        <v>48</v>
      </c>
    </row>
    <row r="148" spans="1:32" ht="30" hidden="1" customHeight="1" x14ac:dyDescent="0.35">
      <c r="A148" s="5" t="s">
        <v>61</v>
      </c>
      <c r="B148" s="5" t="s">
        <v>63</v>
      </c>
      <c r="C148" s="5" t="s">
        <v>295</v>
      </c>
      <c r="D148" s="5" t="s">
        <v>34</v>
      </c>
      <c r="E148" s="6" t="s">
        <v>262</v>
      </c>
      <c r="F148" s="5" t="s">
        <v>35</v>
      </c>
      <c r="G148" s="5" t="s">
        <v>263</v>
      </c>
      <c r="H148" s="5" t="s">
        <v>37</v>
      </c>
      <c r="I148" s="5" t="s">
        <v>300</v>
      </c>
      <c r="J148" s="5">
        <v>8</v>
      </c>
      <c r="K148" s="5"/>
      <c r="L148" s="5"/>
      <c r="M148" s="5"/>
      <c r="N148" s="5"/>
      <c r="O148" s="5"/>
      <c r="P148" s="5" t="str">
        <f t="shared" si="0"/>
        <v>Not heterogeneous</v>
      </c>
      <c r="Q148" s="5">
        <v>31</v>
      </c>
      <c r="R148" s="5" t="str">
        <f t="shared" si="4"/>
        <v>insignificant</v>
      </c>
      <c r="S148" s="5">
        <v>0.35160000000000002</v>
      </c>
      <c r="T148" s="5">
        <v>0.18</v>
      </c>
      <c r="U148" s="5"/>
      <c r="V148" s="7" t="s">
        <v>115</v>
      </c>
      <c r="W148" s="7" t="s">
        <v>116</v>
      </c>
      <c r="X148" s="5" t="s">
        <v>55</v>
      </c>
      <c r="Y148" s="5" t="s">
        <v>43</v>
      </c>
      <c r="Z148" s="5" t="s">
        <v>44</v>
      </c>
      <c r="AA148" s="5" t="s">
        <v>45</v>
      </c>
      <c r="AB148" s="5" t="s">
        <v>76</v>
      </c>
      <c r="AC148" s="5" t="s">
        <v>46</v>
      </c>
      <c r="AD148" s="5" t="s">
        <v>46</v>
      </c>
      <c r="AE148" s="5" t="s">
        <v>47</v>
      </c>
      <c r="AF148" s="5" t="s">
        <v>48</v>
      </c>
    </row>
    <row r="149" spans="1:32" ht="30" hidden="1" customHeight="1" x14ac:dyDescent="0.35">
      <c r="A149" s="5" t="s">
        <v>272</v>
      </c>
      <c r="B149" s="5" t="s">
        <v>63</v>
      </c>
      <c r="C149" s="5" t="s">
        <v>292</v>
      </c>
      <c r="D149" s="5" t="s">
        <v>34</v>
      </c>
      <c r="E149" s="6" t="s">
        <v>262</v>
      </c>
      <c r="F149" s="5" t="s">
        <v>35</v>
      </c>
      <c r="G149" s="5" t="s">
        <v>263</v>
      </c>
      <c r="H149" s="5" t="s">
        <v>37</v>
      </c>
      <c r="I149" s="5" t="s">
        <v>301</v>
      </c>
      <c r="J149" s="5">
        <v>2</v>
      </c>
      <c r="K149" s="5"/>
      <c r="L149" s="5"/>
      <c r="M149" s="5"/>
      <c r="N149" s="5"/>
      <c r="O149" s="5"/>
      <c r="P149" s="5" t="str">
        <f t="shared" si="0"/>
        <v>Heterogeneous</v>
      </c>
      <c r="Q149" s="5" t="s">
        <v>86</v>
      </c>
      <c r="R149" s="5" t="str">
        <f t="shared" si="4"/>
        <v>insignificant</v>
      </c>
      <c r="S149" s="5" t="s">
        <v>170</v>
      </c>
      <c r="T149" s="5">
        <v>0.48</v>
      </c>
      <c r="U149" s="5"/>
      <c r="V149" s="7" t="s">
        <v>115</v>
      </c>
      <c r="W149" s="7" t="s">
        <v>116</v>
      </c>
      <c r="X149" s="5" t="s">
        <v>43</v>
      </c>
      <c r="Y149" s="5" t="s">
        <v>43</v>
      </c>
      <c r="Z149" s="5" t="s">
        <v>56</v>
      </c>
      <c r="AA149" s="5" t="s">
        <v>45</v>
      </c>
      <c r="AB149" s="5" t="s">
        <v>76</v>
      </c>
      <c r="AC149" s="5" t="s">
        <v>46</v>
      </c>
      <c r="AD149" s="5" t="s">
        <v>46</v>
      </c>
      <c r="AE149" s="5" t="s">
        <v>75</v>
      </c>
      <c r="AF149" s="5" t="s">
        <v>66</v>
      </c>
    </row>
    <row r="150" spans="1:32" ht="30" hidden="1" customHeight="1" x14ac:dyDescent="0.35">
      <c r="A150" s="5" t="s">
        <v>272</v>
      </c>
      <c r="B150" s="5" t="s">
        <v>63</v>
      </c>
      <c r="C150" s="5" t="s">
        <v>295</v>
      </c>
      <c r="D150" s="5" t="s">
        <v>34</v>
      </c>
      <c r="E150" s="6" t="s">
        <v>262</v>
      </c>
      <c r="F150" s="5" t="s">
        <v>35</v>
      </c>
      <c r="G150" s="5" t="s">
        <v>263</v>
      </c>
      <c r="H150" s="5" t="s">
        <v>37</v>
      </c>
      <c r="I150" s="5" t="s">
        <v>302</v>
      </c>
      <c r="J150" s="5">
        <v>2</v>
      </c>
      <c r="K150" s="5"/>
      <c r="L150" s="5"/>
      <c r="M150" s="5"/>
      <c r="N150" s="5"/>
      <c r="O150" s="5"/>
      <c r="P150" s="5" t="str">
        <f t="shared" si="0"/>
        <v>Heterogeneous</v>
      </c>
      <c r="Q150" s="5" t="s">
        <v>86</v>
      </c>
      <c r="R150" s="5" t="str">
        <f t="shared" si="4"/>
        <v>insignificant</v>
      </c>
      <c r="S150" s="5">
        <v>0.78910000000000002</v>
      </c>
      <c r="T150" s="5">
        <v>0.68</v>
      </c>
      <c r="U150" s="5"/>
      <c r="V150" s="7" t="s">
        <v>115</v>
      </c>
      <c r="W150" s="7" t="s">
        <v>116</v>
      </c>
      <c r="X150" s="5" t="s">
        <v>43</v>
      </c>
      <c r="Y150" s="5" t="s">
        <v>43</v>
      </c>
      <c r="Z150" s="5" t="s">
        <v>44</v>
      </c>
      <c r="AA150" s="5" t="s">
        <v>45</v>
      </c>
      <c r="AB150" s="5" t="s">
        <v>76</v>
      </c>
      <c r="AC150" s="5" t="s">
        <v>46</v>
      </c>
      <c r="AD150" s="5" t="s">
        <v>46</v>
      </c>
      <c r="AE150" s="5" t="s">
        <v>47</v>
      </c>
      <c r="AF150" s="5" t="s">
        <v>48</v>
      </c>
    </row>
    <row r="151" spans="1:32" ht="30" hidden="1" customHeight="1" x14ac:dyDescent="0.35">
      <c r="A151" s="5" t="s">
        <v>52</v>
      </c>
      <c r="B151" s="5" t="s">
        <v>67</v>
      </c>
      <c r="C151" s="5" t="s">
        <v>267</v>
      </c>
      <c r="D151" s="5" t="s">
        <v>34</v>
      </c>
      <c r="E151" s="6" t="s">
        <v>262</v>
      </c>
      <c r="F151" s="5" t="s">
        <v>35</v>
      </c>
      <c r="G151" s="5" t="s">
        <v>263</v>
      </c>
      <c r="H151" s="5" t="s">
        <v>37</v>
      </c>
      <c r="I151" s="5" t="s">
        <v>303</v>
      </c>
      <c r="J151" s="5">
        <v>5</v>
      </c>
      <c r="K151" s="5"/>
      <c r="L151" s="5"/>
      <c r="M151" s="5"/>
      <c r="N151" s="5"/>
      <c r="O151" s="5"/>
      <c r="P151" s="5" t="str">
        <f t="shared" si="0"/>
        <v>Heterogeneous</v>
      </c>
      <c r="Q151" s="5" t="s">
        <v>304</v>
      </c>
      <c r="R151" s="5" t="str">
        <f t="shared" si="4"/>
        <v>insignificant</v>
      </c>
      <c r="S151" s="5">
        <v>0.41199999999999998</v>
      </c>
      <c r="T151" s="5">
        <v>0.27</v>
      </c>
      <c r="U151" s="5"/>
      <c r="V151" s="7" t="s">
        <v>115</v>
      </c>
      <c r="W151" s="7" t="s">
        <v>116</v>
      </c>
      <c r="X151" s="5" t="s">
        <v>43</v>
      </c>
      <c r="Y151" s="5" t="s">
        <v>43</v>
      </c>
      <c r="Z151" s="5" t="s">
        <v>44</v>
      </c>
      <c r="AA151" s="5" t="s">
        <v>45</v>
      </c>
      <c r="AB151" s="5" t="s">
        <v>76</v>
      </c>
      <c r="AC151" s="5" t="s">
        <v>46</v>
      </c>
      <c r="AD151" s="5" t="s">
        <v>46</v>
      </c>
      <c r="AE151" s="5" t="s">
        <v>47</v>
      </c>
      <c r="AF151" s="5" t="s">
        <v>48</v>
      </c>
    </row>
    <row r="152" spans="1:32" ht="30" hidden="1" customHeight="1" x14ac:dyDescent="0.35">
      <c r="A152" s="5" t="s">
        <v>52</v>
      </c>
      <c r="B152" s="5" t="s">
        <v>67</v>
      </c>
      <c r="C152" s="5" t="s">
        <v>261</v>
      </c>
      <c r="D152" s="5" t="s">
        <v>34</v>
      </c>
      <c r="E152" s="6" t="s">
        <v>262</v>
      </c>
      <c r="F152" s="5" t="s">
        <v>35</v>
      </c>
      <c r="G152" s="5" t="s">
        <v>263</v>
      </c>
      <c r="H152" s="5" t="s">
        <v>37</v>
      </c>
      <c r="I152" s="5" t="s">
        <v>305</v>
      </c>
      <c r="J152" s="5">
        <v>7</v>
      </c>
      <c r="K152" s="5"/>
      <c r="L152" s="5"/>
      <c r="M152" s="5"/>
      <c r="N152" s="5"/>
      <c r="O152" s="5"/>
      <c r="P152" s="5" t="str">
        <f t="shared" si="0"/>
        <v>Heterogeneous</v>
      </c>
      <c r="Q152" s="5">
        <v>53</v>
      </c>
      <c r="R152" s="5" t="str">
        <f t="shared" si="4"/>
        <v>insignificant</v>
      </c>
      <c r="S152" s="5">
        <v>0.106</v>
      </c>
      <c r="T152" s="5">
        <v>0.05</v>
      </c>
      <c r="U152" s="5"/>
      <c r="V152" s="7" t="s">
        <v>115</v>
      </c>
      <c r="W152" s="7" t="s">
        <v>116</v>
      </c>
      <c r="X152" s="5" t="s">
        <v>42</v>
      </c>
      <c r="Y152" s="5" t="s">
        <v>43</v>
      </c>
      <c r="Z152" s="5" t="s">
        <v>44</v>
      </c>
      <c r="AA152" s="5" t="s">
        <v>45</v>
      </c>
      <c r="AB152" s="5" t="s">
        <v>76</v>
      </c>
      <c r="AC152" s="5" t="s">
        <v>46</v>
      </c>
      <c r="AD152" s="5" t="s">
        <v>46</v>
      </c>
      <c r="AE152" s="5" t="s">
        <v>47</v>
      </c>
      <c r="AF152" s="5" t="s">
        <v>48</v>
      </c>
    </row>
    <row r="153" spans="1:32" ht="30" customHeight="1" x14ac:dyDescent="0.35">
      <c r="A153" s="5" t="s">
        <v>52</v>
      </c>
      <c r="B153" s="5" t="s">
        <v>33</v>
      </c>
      <c r="C153" s="5" t="s">
        <v>281</v>
      </c>
      <c r="D153" s="5" t="s">
        <v>34</v>
      </c>
      <c r="E153" s="6" t="s">
        <v>262</v>
      </c>
      <c r="F153" s="5" t="s">
        <v>35</v>
      </c>
      <c r="G153" s="5" t="s">
        <v>263</v>
      </c>
      <c r="H153" s="5" t="s">
        <v>37</v>
      </c>
      <c r="I153" s="5" t="s">
        <v>306</v>
      </c>
      <c r="J153" s="5">
        <v>6</v>
      </c>
      <c r="K153" s="5"/>
      <c r="L153" s="5"/>
      <c r="M153" s="5"/>
      <c r="N153" s="5"/>
      <c r="O153" s="5"/>
      <c r="P153" s="5" t="str">
        <f t="shared" si="0"/>
        <v/>
      </c>
      <c r="Q153" s="5"/>
      <c r="R153" s="5" t="str">
        <f t="shared" si="4"/>
        <v>significant</v>
      </c>
      <c r="S153" s="5">
        <v>4.8869999999999999E-3</v>
      </c>
      <c r="T153" s="5"/>
      <c r="U153" s="5"/>
      <c r="V153" s="7" t="s">
        <v>115</v>
      </c>
      <c r="W153" s="7" t="s">
        <v>116</v>
      </c>
      <c r="X153" s="5" t="s">
        <v>78</v>
      </c>
      <c r="Y153" s="5" t="s">
        <v>43</v>
      </c>
      <c r="Z153" s="5" t="s">
        <v>56</v>
      </c>
      <c r="AA153" s="5" t="s">
        <v>45</v>
      </c>
      <c r="AB153" s="5" t="s">
        <v>76</v>
      </c>
      <c r="AC153" s="5" t="s">
        <v>46</v>
      </c>
      <c r="AD153" s="5" t="s">
        <v>46</v>
      </c>
      <c r="AE153" s="5" t="s">
        <v>75</v>
      </c>
      <c r="AF153" s="5" t="s">
        <v>66</v>
      </c>
    </row>
    <row r="154" spans="1:32" ht="30" hidden="1" customHeight="1" x14ac:dyDescent="0.35">
      <c r="A154" s="5" t="s">
        <v>52</v>
      </c>
      <c r="B154" s="5" t="s">
        <v>63</v>
      </c>
      <c r="C154" s="5" t="s">
        <v>292</v>
      </c>
      <c r="D154" s="5" t="s">
        <v>34</v>
      </c>
      <c r="E154" s="6" t="s">
        <v>262</v>
      </c>
      <c r="F154" s="5" t="s">
        <v>35</v>
      </c>
      <c r="G154" s="5" t="s">
        <v>263</v>
      </c>
      <c r="H154" s="5" t="s">
        <v>37</v>
      </c>
      <c r="I154" s="5" t="s">
        <v>307</v>
      </c>
      <c r="J154" s="5">
        <v>6</v>
      </c>
      <c r="K154" s="5"/>
      <c r="L154" s="5"/>
      <c r="M154" s="5"/>
      <c r="N154" s="5"/>
      <c r="O154" s="5"/>
      <c r="P154" s="5" t="str">
        <f t="shared" si="0"/>
        <v>Heterogeneous</v>
      </c>
      <c r="Q154" s="5" t="s">
        <v>86</v>
      </c>
      <c r="R154" s="5" t="str">
        <f t="shared" si="4"/>
        <v>significant</v>
      </c>
      <c r="S154" s="5">
        <v>1.3748E-2</v>
      </c>
      <c r="T154" s="5">
        <v>0.5</v>
      </c>
      <c r="U154" s="5"/>
      <c r="V154" s="7" t="s">
        <v>115</v>
      </c>
      <c r="W154" s="7" t="s">
        <v>116</v>
      </c>
      <c r="X154" s="5" t="s">
        <v>43</v>
      </c>
      <c r="Y154" s="5" t="s">
        <v>43</v>
      </c>
      <c r="Z154" s="5" t="s">
        <v>56</v>
      </c>
      <c r="AA154" s="5" t="s">
        <v>45</v>
      </c>
      <c r="AB154" s="5" t="s">
        <v>76</v>
      </c>
      <c r="AC154" s="5" t="s">
        <v>46</v>
      </c>
      <c r="AD154" s="5" t="s">
        <v>46</v>
      </c>
      <c r="AE154" s="5" t="s">
        <v>75</v>
      </c>
      <c r="AF154" s="5" t="s">
        <v>66</v>
      </c>
    </row>
    <row r="155" spans="1:32" ht="30" hidden="1" customHeight="1" x14ac:dyDescent="0.35">
      <c r="A155" s="5" t="s">
        <v>58</v>
      </c>
      <c r="B155" s="5" t="s">
        <v>63</v>
      </c>
      <c r="C155" s="5" t="s">
        <v>292</v>
      </c>
      <c r="D155" s="5" t="s">
        <v>34</v>
      </c>
      <c r="E155" s="6" t="s">
        <v>262</v>
      </c>
      <c r="F155" s="5" t="s">
        <v>35</v>
      </c>
      <c r="G155" s="5" t="s">
        <v>263</v>
      </c>
      <c r="H155" s="5" t="s">
        <v>37</v>
      </c>
      <c r="I155" s="5" t="s">
        <v>308</v>
      </c>
      <c r="J155" s="5">
        <v>8</v>
      </c>
      <c r="K155" s="5"/>
      <c r="L155" s="5"/>
      <c r="M155" s="5"/>
      <c r="N155" s="5"/>
      <c r="O155" s="5"/>
      <c r="P155" s="5" t="str">
        <f t="shared" si="0"/>
        <v>Heterogeneous</v>
      </c>
      <c r="Q155" s="5">
        <v>63</v>
      </c>
      <c r="R155" s="5" t="str">
        <f t="shared" si="4"/>
        <v>significant</v>
      </c>
      <c r="S155" s="5">
        <v>1.222E-3</v>
      </c>
      <c r="T155" s="5" t="s">
        <v>294</v>
      </c>
      <c r="U155" s="5"/>
      <c r="V155" s="7" t="s">
        <v>115</v>
      </c>
      <c r="W155" s="7" t="s">
        <v>116</v>
      </c>
      <c r="X155" s="5" t="s">
        <v>42</v>
      </c>
      <c r="Y155" s="5" t="s">
        <v>43</v>
      </c>
      <c r="Z155" s="5" t="s">
        <v>56</v>
      </c>
      <c r="AA155" s="5" t="s">
        <v>45</v>
      </c>
      <c r="AB155" s="5" t="s">
        <v>76</v>
      </c>
      <c r="AC155" s="5" t="s">
        <v>46</v>
      </c>
      <c r="AD155" s="5" t="s">
        <v>46</v>
      </c>
      <c r="AE155" s="5" t="s">
        <v>75</v>
      </c>
      <c r="AF155" s="5" t="s">
        <v>66</v>
      </c>
    </row>
    <row r="156" spans="1:32" ht="30" hidden="1" customHeight="1" x14ac:dyDescent="0.35">
      <c r="A156" s="5" t="s">
        <v>58</v>
      </c>
      <c r="B156" s="5" t="s">
        <v>63</v>
      </c>
      <c r="C156" s="5" t="s">
        <v>295</v>
      </c>
      <c r="D156" s="5" t="s">
        <v>34</v>
      </c>
      <c r="E156" s="6" t="s">
        <v>262</v>
      </c>
      <c r="F156" s="5" t="s">
        <v>35</v>
      </c>
      <c r="G156" s="5" t="s">
        <v>263</v>
      </c>
      <c r="H156" s="5" t="s">
        <v>37</v>
      </c>
      <c r="I156" s="5" t="s">
        <v>309</v>
      </c>
      <c r="J156" s="5">
        <v>8</v>
      </c>
      <c r="K156" s="5"/>
      <c r="L156" s="5"/>
      <c r="M156" s="5"/>
      <c r="N156" s="5"/>
      <c r="O156" s="5"/>
      <c r="P156" s="5" t="str">
        <f t="shared" si="0"/>
        <v>Not heterogeneous</v>
      </c>
      <c r="Q156" s="5">
        <v>47</v>
      </c>
      <c r="R156" s="5" t="str">
        <f t="shared" si="4"/>
        <v>insignificant</v>
      </c>
      <c r="S156" s="5">
        <v>0.71319999999999995</v>
      </c>
      <c r="T156" s="5">
        <v>7.0000000000000007E-2</v>
      </c>
      <c r="U156" s="5"/>
      <c r="V156" s="7" t="s">
        <v>115</v>
      </c>
      <c r="W156" s="7" t="s">
        <v>116</v>
      </c>
      <c r="X156" s="5" t="s">
        <v>55</v>
      </c>
      <c r="Y156" s="5" t="s">
        <v>43</v>
      </c>
      <c r="Z156" s="5" t="s">
        <v>44</v>
      </c>
      <c r="AA156" s="5" t="s">
        <v>45</v>
      </c>
      <c r="AB156" s="5" t="s">
        <v>76</v>
      </c>
      <c r="AC156" s="5" t="s">
        <v>46</v>
      </c>
      <c r="AD156" s="5" t="s">
        <v>46</v>
      </c>
      <c r="AE156" s="5" t="s">
        <v>47</v>
      </c>
      <c r="AF156" s="5" t="s">
        <v>48</v>
      </c>
    </row>
    <row r="157" spans="1:32" ht="30" hidden="1" customHeight="1" x14ac:dyDescent="0.35">
      <c r="A157" s="5" t="s">
        <v>52</v>
      </c>
      <c r="B157" s="5" t="s">
        <v>63</v>
      </c>
      <c r="C157" s="5" t="s">
        <v>295</v>
      </c>
      <c r="D157" s="5" t="s">
        <v>34</v>
      </c>
      <c r="E157" s="6" t="s">
        <v>262</v>
      </c>
      <c r="F157" s="5" t="s">
        <v>35</v>
      </c>
      <c r="G157" s="5" t="s">
        <v>263</v>
      </c>
      <c r="H157" s="5" t="s">
        <v>37</v>
      </c>
      <c r="I157" s="5" t="s">
        <v>310</v>
      </c>
      <c r="J157" s="5">
        <v>6</v>
      </c>
      <c r="K157" s="5"/>
      <c r="L157" s="5"/>
      <c r="M157" s="5"/>
      <c r="N157" s="5"/>
      <c r="O157" s="5"/>
      <c r="P157" s="5" t="str">
        <f t="shared" si="0"/>
        <v>Heterogeneous</v>
      </c>
      <c r="Q157" s="5" t="s">
        <v>304</v>
      </c>
      <c r="R157" s="5" t="str">
        <f t="shared" si="4"/>
        <v>insignificant</v>
      </c>
      <c r="S157" s="5">
        <v>0.73791300000000004</v>
      </c>
      <c r="T157" s="5">
        <v>0.26</v>
      </c>
      <c r="U157" s="5"/>
      <c r="V157" s="7" t="s">
        <v>115</v>
      </c>
      <c r="W157" s="7" t="s">
        <v>116</v>
      </c>
      <c r="X157" s="5" t="s">
        <v>43</v>
      </c>
      <c r="Y157" s="5" t="s">
        <v>43</v>
      </c>
      <c r="Z157" s="5" t="s">
        <v>44</v>
      </c>
      <c r="AA157" s="5" t="s">
        <v>45</v>
      </c>
      <c r="AB157" s="5" t="s">
        <v>76</v>
      </c>
      <c r="AC157" s="5" t="s">
        <v>46</v>
      </c>
      <c r="AD157" s="5" t="s">
        <v>46</v>
      </c>
      <c r="AE157" s="5" t="s">
        <v>47</v>
      </c>
      <c r="AF157" s="5" t="s">
        <v>48</v>
      </c>
    </row>
    <row r="158" spans="1:32" ht="30" hidden="1" customHeight="1" x14ac:dyDescent="0.35">
      <c r="A158" s="5" t="s">
        <v>52</v>
      </c>
      <c r="B158" s="5" t="s">
        <v>67</v>
      </c>
      <c r="C158" s="5" t="s">
        <v>275</v>
      </c>
      <c r="D158" s="5" t="s">
        <v>34</v>
      </c>
      <c r="E158" s="6" t="s">
        <v>276</v>
      </c>
      <c r="F158" s="5" t="s">
        <v>35</v>
      </c>
      <c r="G158" s="5" t="s">
        <v>263</v>
      </c>
      <c r="H158" s="5" t="s">
        <v>73</v>
      </c>
      <c r="I158" s="5" t="s">
        <v>311</v>
      </c>
      <c r="J158" s="5" t="s">
        <v>45</v>
      </c>
      <c r="K158" s="5"/>
      <c r="L158" s="5"/>
      <c r="M158" s="5"/>
      <c r="N158" s="5"/>
      <c r="O158" s="5"/>
      <c r="P158" s="5" t="str">
        <f t="shared" si="0"/>
        <v/>
      </c>
      <c r="Q158" s="5"/>
      <c r="R158" s="5" t="str">
        <f t="shared" si="4"/>
        <v>insignificant</v>
      </c>
      <c r="S158" s="5">
        <v>0.78732599999999997</v>
      </c>
      <c r="T158" s="5">
        <v>0.98</v>
      </c>
      <c r="U158" s="5"/>
      <c r="V158" s="7" t="s">
        <v>115</v>
      </c>
      <c r="W158" s="7" t="s">
        <v>116</v>
      </c>
      <c r="X158" s="5" t="s">
        <v>78</v>
      </c>
      <c r="Y158" s="5" t="s">
        <v>43</v>
      </c>
      <c r="Z158" s="5" t="s">
        <v>44</v>
      </c>
      <c r="AA158" s="5" t="s">
        <v>45</v>
      </c>
      <c r="AB158" s="5" t="s">
        <v>76</v>
      </c>
      <c r="AC158" s="5" t="s">
        <v>46</v>
      </c>
      <c r="AD158" s="5" t="s">
        <v>46</v>
      </c>
      <c r="AE158" s="5" t="s">
        <v>47</v>
      </c>
      <c r="AF158" s="5" t="s">
        <v>48</v>
      </c>
    </row>
    <row r="159" spans="1:32" ht="30" customHeight="1" x14ac:dyDescent="0.35">
      <c r="A159" s="5" t="s">
        <v>52</v>
      </c>
      <c r="B159" s="5" t="s">
        <v>33</v>
      </c>
      <c r="C159" s="5" t="s">
        <v>286</v>
      </c>
      <c r="D159" s="5" t="s">
        <v>34</v>
      </c>
      <c r="E159" s="6" t="s">
        <v>276</v>
      </c>
      <c r="F159" s="5" t="s">
        <v>35</v>
      </c>
      <c r="G159" s="5" t="s">
        <v>263</v>
      </c>
      <c r="H159" s="5" t="s">
        <v>73</v>
      </c>
      <c r="I159" s="5" t="s">
        <v>312</v>
      </c>
      <c r="J159" s="5">
        <v>3</v>
      </c>
      <c r="K159" s="5"/>
      <c r="L159" s="5"/>
      <c r="M159" s="5"/>
      <c r="N159" s="5"/>
      <c r="O159" s="5"/>
      <c r="P159" s="5" t="str">
        <f t="shared" si="0"/>
        <v>Heterogeneous</v>
      </c>
      <c r="Q159" s="5" t="s">
        <v>86</v>
      </c>
      <c r="R159" s="5" t="str">
        <f t="shared" si="4"/>
        <v>insignificant</v>
      </c>
      <c r="S159" s="5">
        <v>0.72270000000000001</v>
      </c>
      <c r="T159" s="5">
        <v>0.44</v>
      </c>
      <c r="U159" s="5"/>
      <c r="V159" s="7" t="s">
        <v>115</v>
      </c>
      <c r="W159" s="7" t="s">
        <v>116</v>
      </c>
      <c r="X159" s="5" t="s">
        <v>43</v>
      </c>
      <c r="Y159" s="5" t="s">
        <v>43</v>
      </c>
      <c r="Z159" s="5" t="s">
        <v>44</v>
      </c>
      <c r="AA159" s="5" t="s">
        <v>45</v>
      </c>
      <c r="AB159" s="5" t="s">
        <v>76</v>
      </c>
      <c r="AC159" s="5" t="s">
        <v>46</v>
      </c>
      <c r="AD159" s="5" t="s">
        <v>46</v>
      </c>
      <c r="AE159" s="5" t="s">
        <v>47</v>
      </c>
      <c r="AF159" s="5" t="s">
        <v>48</v>
      </c>
    </row>
    <row r="160" spans="1:32" ht="30" hidden="1" customHeight="1" x14ac:dyDescent="0.35">
      <c r="A160" s="5" t="s">
        <v>99</v>
      </c>
      <c r="B160" s="5" t="s">
        <v>63</v>
      </c>
      <c r="C160" s="5" t="s">
        <v>64</v>
      </c>
      <c r="D160" s="5" t="s">
        <v>34</v>
      </c>
      <c r="E160" s="6" t="s">
        <v>313</v>
      </c>
      <c r="F160" s="5" t="s">
        <v>35</v>
      </c>
      <c r="G160" s="5" t="s">
        <v>314</v>
      </c>
      <c r="H160" s="5" t="s">
        <v>37</v>
      </c>
      <c r="I160" s="5" t="s">
        <v>315</v>
      </c>
      <c r="J160" s="5">
        <v>12</v>
      </c>
      <c r="K160" s="5"/>
      <c r="L160" s="5"/>
      <c r="M160" s="5"/>
      <c r="N160" s="5" t="s">
        <v>316</v>
      </c>
      <c r="O160" s="5"/>
      <c r="P160" s="5" t="str">
        <f t="shared" si="0"/>
        <v>Heterogeneous</v>
      </c>
      <c r="Q160" s="5">
        <v>85.9</v>
      </c>
      <c r="R160" s="5" t="str">
        <f t="shared" si="4"/>
        <v>insignificant</v>
      </c>
      <c r="S160" s="5" t="s">
        <v>170</v>
      </c>
      <c r="T160" s="5"/>
      <c r="U160" s="5"/>
      <c r="V160" s="7" t="s">
        <v>115</v>
      </c>
      <c r="W160" s="7" t="s">
        <v>116</v>
      </c>
      <c r="X160" s="5" t="s">
        <v>42</v>
      </c>
      <c r="Y160" s="5" t="s">
        <v>43</v>
      </c>
      <c r="Z160" s="5" t="s">
        <v>44</v>
      </c>
      <c r="AA160" s="5" t="s">
        <v>43</v>
      </c>
      <c r="AB160" s="5" t="s">
        <v>46</v>
      </c>
      <c r="AC160" s="5" t="s">
        <v>46</v>
      </c>
      <c r="AD160" s="5" t="s">
        <v>76</v>
      </c>
      <c r="AE160" s="5" t="s">
        <v>47</v>
      </c>
      <c r="AF160" s="5" t="s">
        <v>57</v>
      </c>
    </row>
    <row r="161" spans="1:32" ht="30" hidden="1" customHeight="1" x14ac:dyDescent="0.35">
      <c r="A161" s="5" t="s">
        <v>99</v>
      </c>
      <c r="B161" s="5" t="s">
        <v>63</v>
      </c>
      <c r="C161" s="5" t="s">
        <v>96</v>
      </c>
      <c r="D161" s="5" t="s">
        <v>34</v>
      </c>
      <c r="E161" s="6" t="s">
        <v>313</v>
      </c>
      <c r="F161" s="5" t="s">
        <v>35</v>
      </c>
      <c r="G161" s="5" t="s">
        <v>314</v>
      </c>
      <c r="H161" s="5" t="s">
        <v>37</v>
      </c>
      <c r="I161" s="5" t="s">
        <v>317</v>
      </c>
      <c r="J161" s="5">
        <v>11</v>
      </c>
      <c r="K161" s="5"/>
      <c r="L161" s="5"/>
      <c r="M161" s="5"/>
      <c r="N161" s="5"/>
      <c r="O161" s="5"/>
      <c r="P161" s="5" t="str">
        <f t="shared" si="0"/>
        <v>Heterogeneous</v>
      </c>
      <c r="Q161" s="5">
        <v>82.3</v>
      </c>
      <c r="R161" s="5" t="str">
        <f t="shared" si="4"/>
        <v>insignificant</v>
      </c>
      <c r="S161" s="5">
        <v>0.54539400000000005</v>
      </c>
      <c r="T161" s="5"/>
      <c r="U161" s="5"/>
      <c r="V161" s="7" t="s">
        <v>115</v>
      </c>
      <c r="W161" s="7" t="s">
        <v>116</v>
      </c>
      <c r="X161" s="5" t="s">
        <v>42</v>
      </c>
      <c r="Y161" s="5" t="s">
        <v>43</v>
      </c>
      <c r="Z161" s="5" t="s">
        <v>44</v>
      </c>
      <c r="AA161" s="5" t="s">
        <v>43</v>
      </c>
      <c r="AB161" s="5" t="s">
        <v>46</v>
      </c>
      <c r="AC161" s="5" t="s">
        <v>46</v>
      </c>
      <c r="AD161" s="5" t="s">
        <v>76</v>
      </c>
      <c r="AE161" s="5" t="s">
        <v>47</v>
      </c>
      <c r="AF161" s="5" t="s">
        <v>48</v>
      </c>
    </row>
    <row r="162" spans="1:32" ht="30" customHeight="1" x14ac:dyDescent="0.35">
      <c r="A162" s="5" t="s">
        <v>99</v>
      </c>
      <c r="B162" s="5" t="s">
        <v>33</v>
      </c>
      <c r="C162" s="5"/>
      <c r="D162" s="5" t="s">
        <v>34</v>
      </c>
      <c r="E162" s="6" t="s">
        <v>313</v>
      </c>
      <c r="F162" s="5" t="s">
        <v>35</v>
      </c>
      <c r="G162" s="5" t="s">
        <v>314</v>
      </c>
      <c r="H162" s="5" t="s">
        <v>37</v>
      </c>
      <c r="I162" s="5" t="s">
        <v>318</v>
      </c>
      <c r="J162" s="6">
        <v>23</v>
      </c>
      <c r="K162" s="6"/>
      <c r="L162" s="6"/>
      <c r="M162" s="5"/>
      <c r="N162" s="6" t="s">
        <v>319</v>
      </c>
      <c r="O162" s="6">
        <v>37916</v>
      </c>
      <c r="P162" s="5" t="str">
        <f t="shared" si="0"/>
        <v>Heterogeneous</v>
      </c>
      <c r="Q162" s="5">
        <v>59.7</v>
      </c>
      <c r="R162" s="5" t="str">
        <f t="shared" si="4"/>
        <v>insignificant</v>
      </c>
      <c r="S162" s="5">
        <v>0.66722800000000004</v>
      </c>
      <c r="T162" s="6"/>
      <c r="U162" s="5">
        <v>0.21</v>
      </c>
      <c r="V162" s="7" t="s">
        <v>115</v>
      </c>
      <c r="W162" s="7" t="s">
        <v>116</v>
      </c>
      <c r="X162" s="5" t="s">
        <v>42</v>
      </c>
      <c r="Y162" s="5" t="s">
        <v>43</v>
      </c>
      <c r="Z162" s="5" t="s">
        <v>44</v>
      </c>
      <c r="AA162" s="5" t="s">
        <v>43</v>
      </c>
      <c r="AB162" s="5" t="s">
        <v>46</v>
      </c>
      <c r="AC162" s="5" t="s">
        <v>46</v>
      </c>
      <c r="AD162" s="5" t="s">
        <v>76</v>
      </c>
      <c r="AE162" s="5" t="s">
        <v>47</v>
      </c>
      <c r="AF162" s="5" t="s">
        <v>48</v>
      </c>
    </row>
    <row r="163" spans="1:32" ht="30" hidden="1" customHeight="1" x14ac:dyDescent="0.35">
      <c r="A163" s="5" t="s">
        <v>99</v>
      </c>
      <c r="B163" s="5" t="s">
        <v>67</v>
      </c>
      <c r="C163" s="5" t="s">
        <v>68</v>
      </c>
      <c r="D163" s="5" t="s">
        <v>34</v>
      </c>
      <c r="E163" s="6" t="s">
        <v>313</v>
      </c>
      <c r="F163" s="5" t="s">
        <v>214</v>
      </c>
      <c r="G163" s="5" t="s">
        <v>314</v>
      </c>
      <c r="H163" s="5" t="s">
        <v>37</v>
      </c>
      <c r="I163" s="5" t="s">
        <v>320</v>
      </c>
      <c r="J163" s="5">
        <v>13</v>
      </c>
      <c r="K163" s="5"/>
      <c r="L163" s="5"/>
      <c r="M163" s="5"/>
      <c r="N163" s="5"/>
      <c r="O163" s="5"/>
      <c r="P163" s="5" t="str">
        <f t="shared" si="0"/>
        <v>Not heterogeneous</v>
      </c>
      <c r="Q163" s="5">
        <v>33.1</v>
      </c>
      <c r="R163" s="5" t="str">
        <f t="shared" si="4"/>
        <v>significant</v>
      </c>
      <c r="S163" s="5">
        <v>1.0468999999999999E-2</v>
      </c>
      <c r="T163" s="5"/>
      <c r="U163" s="5"/>
      <c r="V163" s="7" t="s">
        <v>115</v>
      </c>
      <c r="W163" s="7" t="s">
        <v>116</v>
      </c>
      <c r="X163" s="5" t="s">
        <v>55</v>
      </c>
      <c r="Y163" s="5" t="s">
        <v>43</v>
      </c>
      <c r="Z163" s="5" t="s">
        <v>56</v>
      </c>
      <c r="AA163" s="5" t="s">
        <v>43</v>
      </c>
      <c r="AB163" s="5" t="s">
        <v>46</v>
      </c>
      <c r="AC163" s="5" t="s">
        <v>46</v>
      </c>
      <c r="AD163" s="5" t="s">
        <v>76</v>
      </c>
      <c r="AE163" s="5" t="s">
        <v>75</v>
      </c>
      <c r="AF163" s="5" t="s">
        <v>66</v>
      </c>
    </row>
    <row r="164" spans="1:32" ht="30" hidden="1" customHeight="1" x14ac:dyDescent="0.35">
      <c r="A164" s="5" t="s">
        <v>99</v>
      </c>
      <c r="B164" s="5" t="s">
        <v>49</v>
      </c>
      <c r="C164" s="5" t="s">
        <v>50</v>
      </c>
      <c r="D164" s="5" t="s">
        <v>34</v>
      </c>
      <c r="E164" s="6" t="s">
        <v>313</v>
      </c>
      <c r="F164" s="5" t="s">
        <v>214</v>
      </c>
      <c r="G164" s="5" t="s">
        <v>314</v>
      </c>
      <c r="H164" s="5" t="s">
        <v>37</v>
      </c>
      <c r="I164" s="5" t="s">
        <v>321</v>
      </c>
      <c r="J164" s="6">
        <v>12</v>
      </c>
      <c r="K164" s="6"/>
      <c r="L164" s="6"/>
      <c r="M164" s="6"/>
      <c r="N164" s="6"/>
      <c r="O164" s="6"/>
      <c r="P164" s="5" t="str">
        <f t="shared" si="0"/>
        <v>Not heterogeneous</v>
      </c>
      <c r="Q164" s="5">
        <v>49.9</v>
      </c>
      <c r="R164" s="5" t="str">
        <f t="shared" si="4"/>
        <v>insignificant</v>
      </c>
      <c r="S164" s="5">
        <v>0.43931500000000001</v>
      </c>
      <c r="T164" s="6"/>
      <c r="U164" s="5"/>
      <c r="V164" s="7" t="s">
        <v>115</v>
      </c>
      <c r="W164" s="7" t="s">
        <v>116</v>
      </c>
      <c r="X164" s="5" t="s">
        <v>55</v>
      </c>
      <c r="Y164" s="5" t="s">
        <v>43</v>
      </c>
      <c r="Z164" s="5" t="s">
        <v>44</v>
      </c>
      <c r="AA164" s="5" t="s">
        <v>43</v>
      </c>
      <c r="AB164" s="5" t="s">
        <v>46</v>
      </c>
      <c r="AC164" s="5" t="s">
        <v>46</v>
      </c>
      <c r="AD164" s="5" t="s">
        <v>76</v>
      </c>
      <c r="AE164" s="5" t="s">
        <v>47</v>
      </c>
      <c r="AF164" s="5" t="s">
        <v>48</v>
      </c>
    </row>
    <row r="165" spans="1:32" ht="30" hidden="1" customHeight="1" x14ac:dyDescent="0.35">
      <c r="A165" s="5" t="s">
        <v>99</v>
      </c>
      <c r="B165" s="5" t="s">
        <v>49</v>
      </c>
      <c r="C165" s="5" t="s">
        <v>172</v>
      </c>
      <c r="D165" s="5" t="s">
        <v>34</v>
      </c>
      <c r="E165" s="6" t="s">
        <v>313</v>
      </c>
      <c r="F165" s="5" t="s">
        <v>35</v>
      </c>
      <c r="G165" s="5" t="s">
        <v>314</v>
      </c>
      <c r="H165" s="5" t="s">
        <v>37</v>
      </c>
      <c r="I165" s="5" t="s">
        <v>322</v>
      </c>
      <c r="J165" s="6">
        <v>14</v>
      </c>
      <c r="K165" s="6"/>
      <c r="L165" s="6"/>
      <c r="M165" s="6"/>
      <c r="N165" s="6"/>
      <c r="O165" s="6"/>
      <c r="P165" s="5" t="str">
        <f t="shared" si="0"/>
        <v>Heterogeneous</v>
      </c>
      <c r="Q165" s="5">
        <v>55.8</v>
      </c>
      <c r="R165" s="5" t="str">
        <f t="shared" si="4"/>
        <v>insignificant</v>
      </c>
      <c r="S165" s="5">
        <v>0.42366900000000002</v>
      </c>
      <c r="T165" s="6"/>
      <c r="U165" s="5"/>
      <c r="V165" s="7" t="s">
        <v>115</v>
      </c>
      <c r="W165" s="7" t="s">
        <v>116</v>
      </c>
      <c r="X165" s="5" t="s">
        <v>42</v>
      </c>
      <c r="Y165" s="5" t="s">
        <v>43</v>
      </c>
      <c r="Z165" s="5" t="s">
        <v>44</v>
      </c>
      <c r="AA165" s="5" t="s">
        <v>43</v>
      </c>
      <c r="AB165" s="5" t="s">
        <v>46</v>
      </c>
      <c r="AC165" s="5" t="s">
        <v>46</v>
      </c>
      <c r="AD165" s="5" t="s">
        <v>76</v>
      </c>
      <c r="AE165" s="5" t="s">
        <v>47</v>
      </c>
      <c r="AF165" s="5" t="s">
        <v>48</v>
      </c>
    </row>
    <row r="166" spans="1:32" ht="30" customHeight="1" x14ac:dyDescent="0.35">
      <c r="A166" s="5" t="s">
        <v>52</v>
      </c>
      <c r="B166" s="5" t="s">
        <v>33</v>
      </c>
      <c r="C166" s="5"/>
      <c r="D166" s="5" t="s">
        <v>34</v>
      </c>
      <c r="E166" s="6" t="s">
        <v>323</v>
      </c>
      <c r="F166" s="5" t="s">
        <v>35</v>
      </c>
      <c r="G166" s="5" t="s">
        <v>324</v>
      </c>
      <c r="H166" s="5" t="s">
        <v>37</v>
      </c>
      <c r="I166" s="5" t="s">
        <v>325</v>
      </c>
      <c r="J166" s="5">
        <v>8</v>
      </c>
      <c r="K166" s="5">
        <v>1769</v>
      </c>
      <c r="L166" s="5">
        <v>2776</v>
      </c>
      <c r="M166" s="5">
        <f t="shared" ref="M166:M169" si="5">K166+L166</f>
        <v>4545</v>
      </c>
      <c r="N166" s="5" t="s">
        <v>326</v>
      </c>
      <c r="O166" s="5">
        <v>11637</v>
      </c>
      <c r="P166" s="5" t="str">
        <f t="shared" si="0"/>
        <v>Heterogeneous</v>
      </c>
      <c r="Q166" s="5" t="s">
        <v>327</v>
      </c>
      <c r="R166" s="5" t="str">
        <f t="shared" si="4"/>
        <v>significant</v>
      </c>
      <c r="S166" s="5">
        <v>1E-3</v>
      </c>
      <c r="T166" s="5">
        <v>0.33</v>
      </c>
      <c r="U166" s="5"/>
      <c r="V166" s="7" t="s">
        <v>41</v>
      </c>
      <c r="W166" s="7" t="s">
        <v>75</v>
      </c>
      <c r="X166" s="5" t="s">
        <v>43</v>
      </c>
      <c r="Y166" s="5" t="s">
        <v>43</v>
      </c>
      <c r="Z166" s="5" t="s">
        <v>56</v>
      </c>
      <c r="AA166" s="5" t="s">
        <v>45</v>
      </c>
      <c r="AB166" s="5" t="s">
        <v>76</v>
      </c>
      <c r="AC166" s="5" t="s">
        <v>46</v>
      </c>
      <c r="AD166" s="5" t="s">
        <v>76</v>
      </c>
      <c r="AE166" s="5" t="s">
        <v>41</v>
      </c>
      <c r="AF166" s="5" t="s">
        <v>66</v>
      </c>
    </row>
    <row r="167" spans="1:32" ht="30" customHeight="1" x14ac:dyDescent="0.35">
      <c r="A167" s="5" t="s">
        <v>165</v>
      </c>
      <c r="B167" s="5" t="s">
        <v>33</v>
      </c>
      <c r="C167" s="5"/>
      <c r="D167" s="5" t="s">
        <v>34</v>
      </c>
      <c r="E167" s="6" t="s">
        <v>323</v>
      </c>
      <c r="F167" s="5" t="s">
        <v>35</v>
      </c>
      <c r="G167" s="5" t="s">
        <v>324</v>
      </c>
      <c r="H167" s="5" t="s">
        <v>37</v>
      </c>
      <c r="I167" s="5" t="s">
        <v>328</v>
      </c>
      <c r="J167" s="5">
        <v>14</v>
      </c>
      <c r="K167" s="5">
        <v>5450</v>
      </c>
      <c r="L167" s="5">
        <v>7858</v>
      </c>
      <c r="M167" s="5">
        <f t="shared" si="5"/>
        <v>13308</v>
      </c>
      <c r="N167" s="5" t="s">
        <v>329</v>
      </c>
      <c r="O167" s="5">
        <v>31760</v>
      </c>
      <c r="P167" s="5" t="str">
        <f t="shared" si="0"/>
        <v>Heterogeneous</v>
      </c>
      <c r="Q167" s="5">
        <v>69</v>
      </c>
      <c r="R167" s="5" t="str">
        <f t="shared" si="4"/>
        <v>insignificant</v>
      </c>
      <c r="S167" s="5">
        <v>0.64</v>
      </c>
      <c r="T167" s="5" t="s">
        <v>330</v>
      </c>
      <c r="U167" s="5"/>
      <c r="V167" s="7" t="s">
        <v>41</v>
      </c>
      <c r="W167" s="7" t="s">
        <v>75</v>
      </c>
      <c r="X167" s="5" t="s">
        <v>42</v>
      </c>
      <c r="Y167" s="5" t="s">
        <v>43</v>
      </c>
      <c r="Z167" s="5" t="s">
        <v>44</v>
      </c>
      <c r="AA167" s="5" t="s">
        <v>45</v>
      </c>
      <c r="AB167" s="5" t="s">
        <v>76</v>
      </c>
      <c r="AC167" s="5" t="s">
        <v>46</v>
      </c>
      <c r="AD167" s="5" t="s">
        <v>76</v>
      </c>
      <c r="AE167" s="5" t="s">
        <v>75</v>
      </c>
      <c r="AF167" s="5" t="s">
        <v>48</v>
      </c>
    </row>
    <row r="168" spans="1:32" ht="30" customHeight="1" x14ac:dyDescent="0.35">
      <c r="A168" s="5" t="s">
        <v>58</v>
      </c>
      <c r="B168" s="5" t="s">
        <v>33</v>
      </c>
      <c r="C168" s="5"/>
      <c r="D168" s="5" t="s">
        <v>34</v>
      </c>
      <c r="E168" s="6" t="s">
        <v>323</v>
      </c>
      <c r="F168" s="5" t="s">
        <v>35</v>
      </c>
      <c r="G168" s="5" t="s">
        <v>324</v>
      </c>
      <c r="H168" s="5" t="s">
        <v>37</v>
      </c>
      <c r="I168" s="5" t="s">
        <v>331</v>
      </c>
      <c r="J168" s="5">
        <v>11</v>
      </c>
      <c r="K168" s="5">
        <v>2845</v>
      </c>
      <c r="L168" s="5">
        <v>3982</v>
      </c>
      <c r="M168" s="5">
        <f t="shared" si="5"/>
        <v>6827</v>
      </c>
      <c r="N168" s="5" t="s">
        <v>332</v>
      </c>
      <c r="O168" s="5">
        <v>16309</v>
      </c>
      <c r="P168" s="5" t="str">
        <f t="shared" si="0"/>
        <v>Heterogeneous</v>
      </c>
      <c r="Q168" s="5">
        <v>66</v>
      </c>
      <c r="R168" s="5" t="str">
        <f t="shared" si="4"/>
        <v>insignificant</v>
      </c>
      <c r="S168" s="5">
        <v>0.27</v>
      </c>
      <c r="T168" s="5" t="s">
        <v>333</v>
      </c>
      <c r="U168" s="5"/>
      <c r="V168" s="7" t="s">
        <v>41</v>
      </c>
      <c r="W168" s="7" t="s">
        <v>75</v>
      </c>
      <c r="X168" s="5" t="s">
        <v>42</v>
      </c>
      <c r="Y168" s="5" t="s">
        <v>43</v>
      </c>
      <c r="Z168" s="5" t="s">
        <v>44</v>
      </c>
      <c r="AA168" s="5" t="s">
        <v>45</v>
      </c>
      <c r="AB168" s="5" t="s">
        <v>76</v>
      </c>
      <c r="AC168" s="5" t="s">
        <v>46</v>
      </c>
      <c r="AD168" s="5" t="s">
        <v>76</v>
      </c>
      <c r="AE168" s="5" t="s">
        <v>75</v>
      </c>
      <c r="AF168" s="5" t="s">
        <v>48</v>
      </c>
    </row>
    <row r="169" spans="1:32" ht="30" customHeight="1" x14ac:dyDescent="0.35">
      <c r="A169" s="5" t="s">
        <v>61</v>
      </c>
      <c r="B169" s="5" t="s">
        <v>33</v>
      </c>
      <c r="C169" s="5"/>
      <c r="D169" s="5" t="s">
        <v>34</v>
      </c>
      <c r="E169" s="6" t="s">
        <v>323</v>
      </c>
      <c r="F169" s="5" t="s">
        <v>35</v>
      </c>
      <c r="G169" s="5" t="s">
        <v>324</v>
      </c>
      <c r="H169" s="5" t="s">
        <v>37</v>
      </c>
      <c r="I169" s="5" t="s">
        <v>334</v>
      </c>
      <c r="J169" s="5">
        <v>7</v>
      </c>
      <c r="K169" s="5">
        <v>785</v>
      </c>
      <c r="L169" s="5">
        <v>2092</v>
      </c>
      <c r="M169" s="5">
        <f t="shared" si="5"/>
        <v>2877</v>
      </c>
      <c r="N169" s="5" t="s">
        <v>335</v>
      </c>
      <c r="O169" s="5">
        <v>5455</v>
      </c>
      <c r="P169" s="5" t="str">
        <f t="shared" si="0"/>
        <v>Not heterogeneous</v>
      </c>
      <c r="Q169" s="5">
        <v>38</v>
      </c>
      <c r="R169" s="5" t="str">
        <f t="shared" si="4"/>
        <v>insignificant</v>
      </c>
      <c r="S169" s="5">
        <v>0.72</v>
      </c>
      <c r="T169" s="5">
        <v>0.15</v>
      </c>
      <c r="U169" s="5"/>
      <c r="V169" s="7" t="s">
        <v>41</v>
      </c>
      <c r="W169" s="7" t="s">
        <v>75</v>
      </c>
      <c r="X169" s="5" t="s">
        <v>55</v>
      </c>
      <c r="Y169" s="5" t="s">
        <v>43</v>
      </c>
      <c r="Z169" s="5" t="s">
        <v>44</v>
      </c>
      <c r="AA169" s="5" t="s">
        <v>45</v>
      </c>
      <c r="AB169" s="5" t="s">
        <v>76</v>
      </c>
      <c r="AC169" s="5" t="s">
        <v>46</v>
      </c>
      <c r="AD169" s="5" t="s">
        <v>76</v>
      </c>
      <c r="AE169" s="5" t="s">
        <v>75</v>
      </c>
      <c r="AF169" s="5" t="s">
        <v>48</v>
      </c>
    </row>
    <row r="170" spans="1:32" ht="30" hidden="1" customHeight="1" x14ac:dyDescent="0.35">
      <c r="A170" s="5" t="s">
        <v>165</v>
      </c>
      <c r="B170" s="5" t="s">
        <v>67</v>
      </c>
      <c r="C170" s="5" t="s">
        <v>68</v>
      </c>
      <c r="D170" s="5" t="s">
        <v>34</v>
      </c>
      <c r="E170" s="6" t="s">
        <v>323</v>
      </c>
      <c r="F170" s="5" t="s">
        <v>35</v>
      </c>
      <c r="G170" s="5" t="s">
        <v>324</v>
      </c>
      <c r="H170" s="5" t="s">
        <v>37</v>
      </c>
      <c r="I170" s="5" t="s">
        <v>336</v>
      </c>
      <c r="J170" s="5">
        <v>7</v>
      </c>
      <c r="K170" s="5">
        <v>614</v>
      </c>
      <c r="L170" s="5">
        <v>735</v>
      </c>
      <c r="M170" s="5">
        <v>1349</v>
      </c>
      <c r="N170" s="5" t="s">
        <v>337</v>
      </c>
      <c r="O170" s="5">
        <v>17972</v>
      </c>
      <c r="P170" s="5" t="str">
        <f t="shared" si="0"/>
        <v>Heterogeneous</v>
      </c>
      <c r="Q170" s="5">
        <v>52</v>
      </c>
      <c r="R170" s="5" t="str">
        <f t="shared" si="4"/>
        <v>significant</v>
      </c>
      <c r="S170" s="5">
        <v>0.01</v>
      </c>
      <c r="T170" s="5">
        <v>0.05</v>
      </c>
      <c r="U170" s="5"/>
      <c r="V170" s="7" t="s">
        <v>41</v>
      </c>
      <c r="W170" s="7" t="s">
        <v>75</v>
      </c>
      <c r="X170" s="5" t="s">
        <v>42</v>
      </c>
      <c r="Y170" s="5" t="s">
        <v>43</v>
      </c>
      <c r="Z170" s="5" t="s">
        <v>56</v>
      </c>
      <c r="AA170" s="5" t="s">
        <v>45</v>
      </c>
      <c r="AB170" s="5" t="s">
        <v>76</v>
      </c>
      <c r="AC170" s="5" t="s">
        <v>46</v>
      </c>
      <c r="AD170" s="5" t="s">
        <v>76</v>
      </c>
      <c r="AE170" s="5" t="s">
        <v>115</v>
      </c>
      <c r="AF170" s="5" t="s">
        <v>66</v>
      </c>
    </row>
    <row r="171" spans="1:32" ht="30" hidden="1" customHeight="1" x14ac:dyDescent="0.35">
      <c r="A171" s="5" t="s">
        <v>52</v>
      </c>
      <c r="B171" s="5" t="s">
        <v>67</v>
      </c>
      <c r="C171" s="5" t="s">
        <v>68</v>
      </c>
      <c r="D171" s="5" t="s">
        <v>34</v>
      </c>
      <c r="E171" s="6"/>
      <c r="F171" s="5" t="s">
        <v>35</v>
      </c>
      <c r="G171" s="5" t="s">
        <v>338</v>
      </c>
      <c r="H171" s="5" t="s">
        <v>37</v>
      </c>
      <c r="I171" s="5" t="s">
        <v>339</v>
      </c>
      <c r="J171" s="5">
        <v>3</v>
      </c>
      <c r="K171" s="5">
        <v>130</v>
      </c>
      <c r="L171" s="5"/>
      <c r="M171" s="5"/>
      <c r="N171" s="5"/>
      <c r="O171" s="5"/>
      <c r="P171" s="5" t="str">
        <f t="shared" si="0"/>
        <v>Heterogeneous</v>
      </c>
      <c r="Q171" s="5">
        <v>83</v>
      </c>
      <c r="R171" s="5" t="str">
        <f t="shared" si="4"/>
        <v>insignificant</v>
      </c>
      <c r="S171" s="5">
        <v>0.62790400000000002</v>
      </c>
      <c r="T171" s="5">
        <v>0.02</v>
      </c>
      <c r="U171" s="5"/>
      <c r="V171" s="7" t="s">
        <v>40</v>
      </c>
      <c r="W171" s="7" t="s">
        <v>41</v>
      </c>
      <c r="X171" s="5" t="s">
        <v>42</v>
      </c>
      <c r="Y171" s="5" t="s">
        <v>43</v>
      </c>
      <c r="Z171" s="5" t="s">
        <v>44</v>
      </c>
      <c r="AA171" s="5" t="s">
        <v>45</v>
      </c>
      <c r="AB171" s="5" t="s">
        <v>46</v>
      </c>
      <c r="AC171" s="5" t="s">
        <v>46</v>
      </c>
      <c r="AD171" s="5" t="s">
        <v>46</v>
      </c>
      <c r="AE171" s="5" t="s">
        <v>47</v>
      </c>
      <c r="AF171" s="5" t="s">
        <v>48</v>
      </c>
    </row>
    <row r="172" spans="1:32" ht="30" customHeight="1" x14ac:dyDescent="0.35">
      <c r="A172" s="5" t="s">
        <v>58</v>
      </c>
      <c r="B172" s="5" t="s">
        <v>33</v>
      </c>
      <c r="C172" s="5"/>
      <c r="D172" s="5" t="s">
        <v>34</v>
      </c>
      <c r="E172" s="6"/>
      <c r="F172" s="5" t="s">
        <v>35</v>
      </c>
      <c r="G172" s="6" t="s">
        <v>338</v>
      </c>
      <c r="H172" s="5" t="s">
        <v>37</v>
      </c>
      <c r="I172" s="5" t="s">
        <v>340</v>
      </c>
      <c r="J172" s="5">
        <v>6</v>
      </c>
      <c r="K172" s="5">
        <v>2802</v>
      </c>
      <c r="L172" s="5"/>
      <c r="M172" s="5"/>
      <c r="N172" s="5"/>
      <c r="O172" s="5"/>
      <c r="P172" s="5" t="str">
        <f t="shared" si="0"/>
        <v>Heterogeneous</v>
      </c>
      <c r="Q172" s="5">
        <v>75.5</v>
      </c>
      <c r="R172" s="5" t="str">
        <f t="shared" si="4"/>
        <v>insignificant</v>
      </c>
      <c r="S172" s="5">
        <v>0.47488999999999998</v>
      </c>
      <c r="T172" s="5" t="s">
        <v>174</v>
      </c>
      <c r="U172" s="5"/>
      <c r="V172" s="7" t="s">
        <v>40</v>
      </c>
      <c r="W172" s="7" t="s">
        <v>41</v>
      </c>
      <c r="X172" s="5" t="s">
        <v>42</v>
      </c>
      <c r="Y172" s="5" t="s">
        <v>43</v>
      </c>
      <c r="Z172" s="5" t="s">
        <v>44</v>
      </c>
      <c r="AA172" s="5" t="s">
        <v>45</v>
      </c>
      <c r="AB172" s="5" t="s">
        <v>46</v>
      </c>
      <c r="AC172" s="5" t="s">
        <v>46</v>
      </c>
      <c r="AD172" s="5" t="s">
        <v>46</v>
      </c>
      <c r="AE172" s="5" t="s">
        <v>47</v>
      </c>
      <c r="AF172" s="5" t="s">
        <v>48</v>
      </c>
    </row>
    <row r="173" spans="1:32" ht="30" hidden="1" customHeight="1" x14ac:dyDescent="0.35">
      <c r="A173" s="5" t="s">
        <v>52</v>
      </c>
      <c r="B173" s="5" t="s">
        <v>67</v>
      </c>
      <c r="C173" s="5" t="s">
        <v>341</v>
      </c>
      <c r="D173" s="5" t="s">
        <v>34</v>
      </c>
      <c r="E173" s="6"/>
      <c r="F173" s="5" t="s">
        <v>35</v>
      </c>
      <c r="G173" s="5" t="s">
        <v>338</v>
      </c>
      <c r="H173" s="5" t="s">
        <v>37</v>
      </c>
      <c r="I173" s="5" t="s">
        <v>342</v>
      </c>
      <c r="J173" s="5">
        <v>5</v>
      </c>
      <c r="K173" s="5">
        <v>757</v>
      </c>
      <c r="L173" s="5"/>
      <c r="M173" s="5"/>
      <c r="N173" s="5"/>
      <c r="O173" s="5"/>
      <c r="P173" s="5" t="str">
        <f t="shared" si="0"/>
        <v>Heterogeneous</v>
      </c>
      <c r="Q173" s="5" t="s">
        <v>86</v>
      </c>
      <c r="R173" s="5" t="str">
        <f t="shared" si="4"/>
        <v>significant</v>
      </c>
      <c r="S173" s="5">
        <v>3.5270000000000002E-3</v>
      </c>
      <c r="T173" s="5">
        <v>0.7</v>
      </c>
      <c r="U173" s="5"/>
      <c r="V173" s="7" t="s">
        <v>40</v>
      </c>
      <c r="W173" s="7" t="s">
        <v>41</v>
      </c>
      <c r="X173" s="5" t="s">
        <v>43</v>
      </c>
      <c r="Y173" s="5" t="s">
        <v>43</v>
      </c>
      <c r="Z173" s="5" t="s">
        <v>56</v>
      </c>
      <c r="AA173" s="5" t="s">
        <v>45</v>
      </c>
      <c r="AB173" s="5" t="s">
        <v>46</v>
      </c>
      <c r="AC173" s="5" t="s">
        <v>46</v>
      </c>
      <c r="AD173" s="5" t="s">
        <v>46</v>
      </c>
      <c r="AE173" s="5" t="s">
        <v>47</v>
      </c>
      <c r="AF173" s="5" t="s">
        <v>66</v>
      </c>
    </row>
    <row r="174" spans="1:32" ht="30" customHeight="1" x14ac:dyDescent="0.35">
      <c r="A174" s="5" t="s">
        <v>61</v>
      </c>
      <c r="B174" s="5" t="s">
        <v>33</v>
      </c>
      <c r="C174" s="5"/>
      <c r="D174" s="5" t="s">
        <v>34</v>
      </c>
      <c r="E174" s="6"/>
      <c r="F174" s="5" t="s">
        <v>35</v>
      </c>
      <c r="G174" s="5" t="s">
        <v>338</v>
      </c>
      <c r="H174" s="5" t="s">
        <v>37</v>
      </c>
      <c r="I174" s="5" t="s">
        <v>343</v>
      </c>
      <c r="J174" s="5">
        <v>10</v>
      </c>
      <c r="K174" s="5">
        <v>667</v>
      </c>
      <c r="L174" s="5"/>
      <c r="M174" s="5"/>
      <c r="N174" s="5"/>
      <c r="O174" s="5"/>
      <c r="P174" s="5" t="str">
        <f t="shared" si="0"/>
        <v>Heterogeneous</v>
      </c>
      <c r="Q174" s="5">
        <v>72</v>
      </c>
      <c r="R174" s="5" t="str">
        <f t="shared" si="4"/>
        <v>insignificant</v>
      </c>
      <c r="S174" s="5">
        <v>0.75466</v>
      </c>
      <c r="T174" s="5" t="s">
        <v>174</v>
      </c>
      <c r="U174" s="5"/>
      <c r="V174" s="7" t="s">
        <v>40</v>
      </c>
      <c r="W174" s="7" t="s">
        <v>41</v>
      </c>
      <c r="X174" s="5" t="s">
        <v>42</v>
      </c>
      <c r="Y174" s="5" t="s">
        <v>43</v>
      </c>
      <c r="Z174" s="5" t="s">
        <v>44</v>
      </c>
      <c r="AA174" s="5" t="s">
        <v>45</v>
      </c>
      <c r="AB174" s="5" t="s">
        <v>46</v>
      </c>
      <c r="AC174" s="5" t="s">
        <v>46</v>
      </c>
      <c r="AD174" s="5" t="s">
        <v>46</v>
      </c>
      <c r="AE174" s="5" t="s">
        <v>47</v>
      </c>
      <c r="AF174" s="5" t="s">
        <v>48</v>
      </c>
    </row>
    <row r="175" spans="1:32" ht="30" customHeight="1" x14ac:dyDescent="0.35">
      <c r="A175" s="5" t="s">
        <v>107</v>
      </c>
      <c r="B175" s="5" t="s">
        <v>33</v>
      </c>
      <c r="C175" s="5"/>
      <c r="D175" s="5" t="s">
        <v>34</v>
      </c>
      <c r="E175" s="6"/>
      <c r="F175" s="5" t="s">
        <v>35</v>
      </c>
      <c r="G175" s="5" t="s">
        <v>338</v>
      </c>
      <c r="H175" s="5" t="s">
        <v>37</v>
      </c>
      <c r="I175" s="5" t="s">
        <v>344</v>
      </c>
      <c r="J175" s="5">
        <v>7</v>
      </c>
      <c r="K175" s="5">
        <v>448</v>
      </c>
      <c r="L175" s="5"/>
      <c r="M175" s="5"/>
      <c r="N175" s="5"/>
      <c r="O175" s="5"/>
      <c r="P175" s="5" t="str">
        <f t="shared" si="0"/>
        <v>Heterogeneous</v>
      </c>
      <c r="Q175" s="5" t="s">
        <v>86</v>
      </c>
      <c r="R175" s="5" t="str">
        <f t="shared" si="4"/>
        <v>insignificant</v>
      </c>
      <c r="S175" s="5">
        <v>0.122974</v>
      </c>
      <c r="T175" s="5">
        <v>0.97</v>
      </c>
      <c r="U175" s="5"/>
      <c r="V175" s="7" t="s">
        <v>40</v>
      </c>
      <c r="W175" s="7" t="s">
        <v>41</v>
      </c>
      <c r="X175" s="5" t="s">
        <v>43</v>
      </c>
      <c r="Y175" s="5" t="s">
        <v>43</v>
      </c>
      <c r="Z175" s="5" t="s">
        <v>44</v>
      </c>
      <c r="AA175" s="5" t="s">
        <v>45</v>
      </c>
      <c r="AB175" s="5" t="s">
        <v>46</v>
      </c>
      <c r="AC175" s="5" t="s">
        <v>46</v>
      </c>
      <c r="AD175" s="5" t="s">
        <v>46</v>
      </c>
      <c r="AE175" s="5" t="s">
        <v>47</v>
      </c>
      <c r="AF175" s="5" t="s">
        <v>48</v>
      </c>
    </row>
    <row r="176" spans="1:32" ht="30" hidden="1" customHeight="1" x14ac:dyDescent="0.35">
      <c r="A176" s="5" t="s">
        <v>58</v>
      </c>
      <c r="B176" s="5" t="s">
        <v>67</v>
      </c>
      <c r="C176" s="5" t="s">
        <v>341</v>
      </c>
      <c r="D176" s="5" t="s">
        <v>34</v>
      </c>
      <c r="E176" s="6"/>
      <c r="F176" s="5" t="s">
        <v>35</v>
      </c>
      <c r="G176" s="5" t="s">
        <v>338</v>
      </c>
      <c r="H176" s="5" t="s">
        <v>37</v>
      </c>
      <c r="I176" s="5" t="s">
        <v>345</v>
      </c>
      <c r="J176" s="5">
        <v>8</v>
      </c>
      <c r="K176" s="5">
        <v>1340</v>
      </c>
      <c r="L176" s="5"/>
      <c r="M176" s="5"/>
      <c r="N176" s="5"/>
      <c r="O176" s="5"/>
      <c r="P176" s="5" t="str">
        <f t="shared" si="0"/>
        <v>Heterogeneous</v>
      </c>
      <c r="Q176" s="5">
        <v>63.6</v>
      </c>
      <c r="R176" s="5" t="str">
        <f t="shared" si="4"/>
        <v>insignificant</v>
      </c>
      <c r="S176" s="5">
        <v>0.75151500000000004</v>
      </c>
      <c r="T176" s="5" t="s">
        <v>346</v>
      </c>
      <c r="U176" s="5"/>
      <c r="V176" s="7" t="s">
        <v>40</v>
      </c>
      <c r="W176" s="7" t="s">
        <v>41</v>
      </c>
      <c r="X176" s="5" t="s">
        <v>42</v>
      </c>
      <c r="Y176" s="5" t="s">
        <v>43</v>
      </c>
      <c r="Z176" s="5" t="s">
        <v>44</v>
      </c>
      <c r="AA176" s="5" t="s">
        <v>45</v>
      </c>
      <c r="AB176" s="5" t="s">
        <v>46</v>
      </c>
      <c r="AC176" s="5" t="s">
        <v>46</v>
      </c>
      <c r="AD176" s="5" t="s">
        <v>46</v>
      </c>
      <c r="AE176" s="5" t="s">
        <v>47</v>
      </c>
      <c r="AF176" s="5" t="s">
        <v>48</v>
      </c>
    </row>
    <row r="177" spans="1:32" ht="30" hidden="1" customHeight="1" x14ac:dyDescent="0.35">
      <c r="A177" s="5" t="s">
        <v>58</v>
      </c>
      <c r="B177" s="5" t="s">
        <v>67</v>
      </c>
      <c r="C177" s="5" t="s">
        <v>68</v>
      </c>
      <c r="D177" s="5" t="s">
        <v>34</v>
      </c>
      <c r="E177" s="6"/>
      <c r="F177" s="5" t="s">
        <v>35</v>
      </c>
      <c r="G177" s="5" t="s">
        <v>338</v>
      </c>
      <c r="H177" s="5" t="s">
        <v>37</v>
      </c>
      <c r="I177" s="5" t="s">
        <v>347</v>
      </c>
      <c r="J177" s="5">
        <v>5</v>
      </c>
      <c r="K177" s="5">
        <v>409</v>
      </c>
      <c r="L177" s="5"/>
      <c r="M177" s="5"/>
      <c r="N177" s="5"/>
      <c r="O177" s="5"/>
      <c r="P177" s="5" t="str">
        <f t="shared" si="0"/>
        <v>Heterogeneous</v>
      </c>
      <c r="Q177" s="5">
        <v>87</v>
      </c>
      <c r="R177" s="5" t="str">
        <f t="shared" si="4"/>
        <v>insignificant</v>
      </c>
      <c r="S177" s="5">
        <v>0.19228600000000001</v>
      </c>
      <c r="T177" s="5" t="s">
        <v>174</v>
      </c>
      <c r="U177" s="5"/>
      <c r="V177" s="7" t="s">
        <v>40</v>
      </c>
      <c r="W177" s="7" t="s">
        <v>41</v>
      </c>
      <c r="X177" s="5" t="s">
        <v>42</v>
      </c>
      <c r="Y177" s="5" t="s">
        <v>43</v>
      </c>
      <c r="Z177" s="5" t="s">
        <v>44</v>
      </c>
      <c r="AA177" s="5" t="s">
        <v>45</v>
      </c>
      <c r="AB177" s="5" t="s">
        <v>46</v>
      </c>
      <c r="AC177" s="5" t="s">
        <v>46</v>
      </c>
      <c r="AD177" s="5" t="s">
        <v>46</v>
      </c>
      <c r="AE177" s="5" t="s">
        <v>47</v>
      </c>
      <c r="AF177" s="5" t="s">
        <v>48</v>
      </c>
    </row>
    <row r="178" spans="1:32" ht="30" customHeight="1" x14ac:dyDescent="0.35">
      <c r="A178" s="5" t="s">
        <v>52</v>
      </c>
      <c r="B178" s="5" t="s">
        <v>33</v>
      </c>
      <c r="C178" s="5"/>
      <c r="D178" s="5" t="s">
        <v>34</v>
      </c>
      <c r="E178" s="6"/>
      <c r="F178" s="5" t="s">
        <v>35</v>
      </c>
      <c r="G178" s="5" t="s">
        <v>338</v>
      </c>
      <c r="H178" s="5" t="s">
        <v>37</v>
      </c>
      <c r="I178" s="5" t="s">
        <v>189</v>
      </c>
      <c r="J178" s="5">
        <v>6</v>
      </c>
      <c r="K178" s="5">
        <v>1503</v>
      </c>
      <c r="L178" s="5"/>
      <c r="M178" s="5"/>
      <c r="N178" s="5"/>
      <c r="O178" s="5"/>
      <c r="P178" s="5" t="str">
        <f t="shared" si="0"/>
        <v>Not heterogeneous</v>
      </c>
      <c r="Q178" s="5">
        <v>46.3</v>
      </c>
      <c r="R178" s="5" t="str">
        <f t="shared" si="4"/>
        <v>insignificant</v>
      </c>
      <c r="S178" s="5">
        <v>0.44771699999999998</v>
      </c>
      <c r="T178" s="5">
        <v>0.1</v>
      </c>
      <c r="U178" s="5"/>
      <c r="V178" s="7" t="s">
        <v>40</v>
      </c>
      <c r="W178" s="7" t="s">
        <v>41</v>
      </c>
      <c r="X178" s="5" t="s">
        <v>55</v>
      </c>
      <c r="Y178" s="5" t="s">
        <v>43</v>
      </c>
      <c r="Z178" s="5" t="s">
        <v>44</v>
      </c>
      <c r="AA178" s="5" t="s">
        <v>45</v>
      </c>
      <c r="AB178" s="5" t="s">
        <v>46</v>
      </c>
      <c r="AC178" s="5" t="s">
        <v>46</v>
      </c>
      <c r="AD178" s="5" t="s">
        <v>46</v>
      </c>
      <c r="AE178" s="5" t="s">
        <v>47</v>
      </c>
      <c r="AF178" s="5" t="s">
        <v>48</v>
      </c>
    </row>
    <row r="179" spans="1:32" ht="30" hidden="1" customHeight="1" x14ac:dyDescent="0.35">
      <c r="A179" s="5" t="s">
        <v>61</v>
      </c>
      <c r="B179" s="5" t="s">
        <v>67</v>
      </c>
      <c r="C179" s="5" t="s">
        <v>341</v>
      </c>
      <c r="D179" s="5" t="s">
        <v>34</v>
      </c>
      <c r="E179" s="6"/>
      <c r="F179" s="5" t="s">
        <v>35</v>
      </c>
      <c r="G179" s="5" t="s">
        <v>338</v>
      </c>
      <c r="H179" s="5" t="s">
        <v>37</v>
      </c>
      <c r="I179" s="5" t="s">
        <v>348</v>
      </c>
      <c r="J179" s="5">
        <v>8</v>
      </c>
      <c r="K179" s="5"/>
      <c r="L179" s="5"/>
      <c r="M179" s="5"/>
      <c r="N179" s="5"/>
      <c r="O179" s="5"/>
      <c r="P179" s="5" t="str">
        <f t="shared" si="0"/>
        <v>Not heterogeneous</v>
      </c>
      <c r="Q179" s="5">
        <v>46.3</v>
      </c>
      <c r="R179" s="5" t="str">
        <f t="shared" si="4"/>
        <v>insignificant</v>
      </c>
      <c r="S179" s="5">
        <v>0.95513400000000004</v>
      </c>
      <c r="T179" s="5">
        <v>0.03</v>
      </c>
      <c r="U179" s="5"/>
      <c r="V179" s="7" t="s">
        <v>40</v>
      </c>
      <c r="W179" s="7" t="s">
        <v>41</v>
      </c>
      <c r="X179" s="5" t="s">
        <v>42</v>
      </c>
      <c r="Y179" s="5" t="s">
        <v>43</v>
      </c>
      <c r="Z179" s="5" t="s">
        <v>44</v>
      </c>
      <c r="AA179" s="5" t="s">
        <v>45</v>
      </c>
      <c r="AB179" s="5" t="s">
        <v>46</v>
      </c>
      <c r="AC179" s="5" t="s">
        <v>46</v>
      </c>
      <c r="AD179" s="5" t="s">
        <v>46</v>
      </c>
      <c r="AE179" s="5" t="s">
        <v>47</v>
      </c>
      <c r="AF179" s="5" t="s">
        <v>48</v>
      </c>
    </row>
    <row r="180" spans="1:32" ht="30" hidden="1" customHeight="1" x14ac:dyDescent="0.35">
      <c r="A180" s="5" t="s">
        <v>61</v>
      </c>
      <c r="B180" s="5" t="s">
        <v>67</v>
      </c>
      <c r="C180" s="5" t="s">
        <v>68</v>
      </c>
      <c r="D180" s="5" t="s">
        <v>34</v>
      </c>
      <c r="E180" s="6"/>
      <c r="F180" s="5" t="s">
        <v>35</v>
      </c>
      <c r="G180" s="5" t="s">
        <v>338</v>
      </c>
      <c r="H180" s="5" t="s">
        <v>37</v>
      </c>
      <c r="I180" s="5" t="s">
        <v>349</v>
      </c>
      <c r="J180" s="5">
        <v>4</v>
      </c>
      <c r="K180" s="5"/>
      <c r="L180" s="5"/>
      <c r="M180" s="5"/>
      <c r="N180" s="5"/>
      <c r="O180" s="5"/>
      <c r="P180" s="5" t="str">
        <f t="shared" si="0"/>
        <v>Not heterogeneous</v>
      </c>
      <c r="Q180" s="5">
        <v>38</v>
      </c>
      <c r="R180" s="5" t="str">
        <f t="shared" si="4"/>
        <v>insignificant</v>
      </c>
      <c r="S180" s="5">
        <v>0.31388899999999997</v>
      </c>
      <c r="T180" s="5">
        <v>0.18</v>
      </c>
      <c r="U180" s="5"/>
      <c r="V180" s="7" t="s">
        <v>40</v>
      </c>
      <c r="W180" s="7" t="s">
        <v>41</v>
      </c>
      <c r="X180" s="5" t="s">
        <v>55</v>
      </c>
      <c r="Y180" s="5" t="s">
        <v>43</v>
      </c>
      <c r="Z180" s="5" t="s">
        <v>44</v>
      </c>
      <c r="AA180" s="5" t="s">
        <v>45</v>
      </c>
      <c r="AB180" s="5" t="s">
        <v>46</v>
      </c>
      <c r="AC180" s="5" t="s">
        <v>46</v>
      </c>
      <c r="AD180" s="5" t="s">
        <v>46</v>
      </c>
      <c r="AE180" s="5" t="s">
        <v>47</v>
      </c>
      <c r="AF180" s="5" t="s">
        <v>48</v>
      </c>
    </row>
    <row r="181" spans="1:32" ht="30" hidden="1" customHeight="1" x14ac:dyDescent="0.35">
      <c r="A181" s="5" t="s">
        <v>107</v>
      </c>
      <c r="B181" s="5" t="s">
        <v>67</v>
      </c>
      <c r="C181" s="5" t="s">
        <v>341</v>
      </c>
      <c r="D181" s="5" t="s">
        <v>34</v>
      </c>
      <c r="E181" s="6"/>
      <c r="F181" s="5" t="s">
        <v>35</v>
      </c>
      <c r="G181" s="5" t="s">
        <v>338</v>
      </c>
      <c r="H181" s="5" t="s">
        <v>37</v>
      </c>
      <c r="I181" s="5" t="s">
        <v>350</v>
      </c>
      <c r="J181" s="5">
        <v>6</v>
      </c>
      <c r="K181" s="5">
        <v>451</v>
      </c>
      <c r="L181" s="5"/>
      <c r="M181" s="5"/>
      <c r="N181" s="5"/>
      <c r="O181" s="5"/>
      <c r="P181" s="5" t="str">
        <f t="shared" si="0"/>
        <v>Heterogeneous</v>
      </c>
      <c r="Q181" s="5" t="s">
        <v>86</v>
      </c>
      <c r="R181" s="5" t="str">
        <f t="shared" si="4"/>
        <v>insignificant</v>
      </c>
      <c r="S181" s="5">
        <v>0.216503</v>
      </c>
      <c r="T181" s="5">
        <v>0.73</v>
      </c>
      <c r="U181" s="5"/>
      <c r="V181" s="7" t="s">
        <v>40</v>
      </c>
      <c r="W181" s="7" t="s">
        <v>41</v>
      </c>
      <c r="X181" s="5" t="s">
        <v>43</v>
      </c>
      <c r="Y181" s="5" t="s">
        <v>43</v>
      </c>
      <c r="Z181" s="5" t="s">
        <v>44</v>
      </c>
      <c r="AA181" s="5" t="s">
        <v>45</v>
      </c>
      <c r="AB181" s="5" t="s">
        <v>46</v>
      </c>
      <c r="AC181" s="5" t="s">
        <v>46</v>
      </c>
      <c r="AD181" s="5" t="s">
        <v>46</v>
      </c>
      <c r="AE181" s="5" t="s">
        <v>47</v>
      </c>
      <c r="AF181" s="5" t="s">
        <v>48</v>
      </c>
    </row>
    <row r="182" spans="1:32" ht="30" hidden="1" customHeight="1" x14ac:dyDescent="0.35">
      <c r="A182" s="5" t="s">
        <v>107</v>
      </c>
      <c r="B182" s="5" t="s">
        <v>67</v>
      </c>
      <c r="C182" s="5" t="s">
        <v>68</v>
      </c>
      <c r="D182" s="5" t="s">
        <v>34</v>
      </c>
      <c r="E182" s="6"/>
      <c r="F182" s="5" t="s">
        <v>35</v>
      </c>
      <c r="G182" s="5" t="s">
        <v>338</v>
      </c>
      <c r="H182" s="5" t="s">
        <v>37</v>
      </c>
      <c r="I182" s="5" t="s">
        <v>351</v>
      </c>
      <c r="J182" s="5">
        <v>5</v>
      </c>
      <c r="K182" s="5">
        <v>38</v>
      </c>
      <c r="L182" s="5"/>
      <c r="M182" s="5"/>
      <c r="N182" s="5"/>
      <c r="O182" s="5"/>
      <c r="P182" s="5" t="str">
        <f t="shared" si="0"/>
        <v>Heterogeneous</v>
      </c>
      <c r="Q182" s="5" t="s">
        <v>86</v>
      </c>
      <c r="R182" s="5" t="str">
        <f t="shared" si="4"/>
        <v>insignificant</v>
      </c>
      <c r="S182" s="5">
        <v>0.43670199999999998</v>
      </c>
      <c r="T182" s="5">
        <v>0.69</v>
      </c>
      <c r="U182" s="5"/>
      <c r="V182" s="7" t="s">
        <v>40</v>
      </c>
      <c r="W182" s="7" t="s">
        <v>41</v>
      </c>
      <c r="X182" s="5" t="s">
        <v>43</v>
      </c>
      <c r="Y182" s="5" t="s">
        <v>43</v>
      </c>
      <c r="Z182" s="5" t="s">
        <v>44</v>
      </c>
      <c r="AA182" s="5" t="s">
        <v>45</v>
      </c>
      <c r="AB182" s="5" t="s">
        <v>46</v>
      </c>
      <c r="AC182" s="5" t="s">
        <v>46</v>
      </c>
      <c r="AD182" s="5" t="s">
        <v>46</v>
      </c>
      <c r="AE182" s="5" t="s">
        <v>47</v>
      </c>
      <c r="AF182" s="5" t="s">
        <v>48</v>
      </c>
    </row>
    <row r="183" spans="1:32" ht="30" hidden="1" customHeight="1" x14ac:dyDescent="0.35">
      <c r="A183" s="5" t="s">
        <v>58</v>
      </c>
      <c r="B183" s="5" t="s">
        <v>67</v>
      </c>
      <c r="C183" s="5" t="s">
        <v>352</v>
      </c>
      <c r="D183" s="5" t="s">
        <v>34</v>
      </c>
      <c r="E183" s="6"/>
      <c r="F183" s="5" t="s">
        <v>35</v>
      </c>
      <c r="G183" s="5" t="s">
        <v>353</v>
      </c>
      <c r="H183" s="5" t="s">
        <v>37</v>
      </c>
      <c r="I183" s="5" t="s">
        <v>354</v>
      </c>
      <c r="J183" s="5">
        <v>11</v>
      </c>
      <c r="K183" s="5"/>
      <c r="L183" s="5"/>
      <c r="M183" s="5"/>
      <c r="N183" s="5" t="s">
        <v>355</v>
      </c>
      <c r="O183" s="5">
        <v>18063</v>
      </c>
      <c r="P183" s="5" t="str">
        <f t="shared" si="0"/>
        <v>Heterogeneous</v>
      </c>
      <c r="Q183" s="5">
        <v>85.7</v>
      </c>
      <c r="R183" s="5" t="str">
        <f t="shared" si="4"/>
        <v>insignificant</v>
      </c>
      <c r="S183" s="5">
        <v>0.341943</v>
      </c>
      <c r="T183" s="6" t="s">
        <v>174</v>
      </c>
      <c r="U183" s="5">
        <v>0.81</v>
      </c>
      <c r="V183" s="7" t="s">
        <v>40</v>
      </c>
      <c r="W183" s="7" t="s">
        <v>41</v>
      </c>
      <c r="X183" s="5" t="s">
        <v>42</v>
      </c>
      <c r="Y183" s="5" t="s">
        <v>43</v>
      </c>
      <c r="Z183" s="5" t="s">
        <v>44</v>
      </c>
      <c r="AA183" s="5" t="s">
        <v>43</v>
      </c>
      <c r="AB183" s="5" t="s">
        <v>46</v>
      </c>
      <c r="AC183" s="5" t="s">
        <v>46</v>
      </c>
      <c r="AD183" s="5" t="s">
        <v>46</v>
      </c>
      <c r="AE183" s="5" t="s">
        <v>47</v>
      </c>
      <c r="AF183" s="5" t="s">
        <v>48</v>
      </c>
    </row>
    <row r="184" spans="1:32" ht="30" hidden="1" customHeight="1" x14ac:dyDescent="0.35">
      <c r="A184" s="5" t="s">
        <v>58</v>
      </c>
      <c r="B184" s="5" t="s">
        <v>67</v>
      </c>
      <c r="C184" s="5" t="s">
        <v>356</v>
      </c>
      <c r="D184" s="5" t="s">
        <v>34</v>
      </c>
      <c r="E184" s="6"/>
      <c r="F184" s="5" t="s">
        <v>35</v>
      </c>
      <c r="G184" s="5" t="s">
        <v>353</v>
      </c>
      <c r="H184" s="5" t="s">
        <v>37</v>
      </c>
      <c r="I184" s="5" t="s">
        <v>357</v>
      </c>
      <c r="J184" s="5">
        <v>9</v>
      </c>
      <c r="K184" s="5"/>
      <c r="L184" s="5"/>
      <c r="M184" s="5"/>
      <c r="N184" s="5" t="s">
        <v>358</v>
      </c>
      <c r="O184" s="5">
        <v>16228</v>
      </c>
      <c r="P184" s="5" t="str">
        <f t="shared" si="0"/>
        <v>Heterogeneous</v>
      </c>
      <c r="Q184" s="5">
        <v>91.9</v>
      </c>
      <c r="R184" s="5" t="str">
        <f t="shared" si="4"/>
        <v>significant</v>
      </c>
      <c r="S184" s="5">
        <v>2.9889999999999999E-3</v>
      </c>
      <c r="T184" s="6" t="s">
        <v>174</v>
      </c>
      <c r="U184" s="5"/>
      <c r="V184" s="7" t="s">
        <v>40</v>
      </c>
      <c r="W184" s="7" t="s">
        <v>41</v>
      </c>
      <c r="X184" s="5" t="s">
        <v>42</v>
      </c>
      <c r="Y184" s="5" t="s">
        <v>43</v>
      </c>
      <c r="Z184" s="5" t="s">
        <v>56</v>
      </c>
      <c r="AA184" s="5" t="s">
        <v>45</v>
      </c>
      <c r="AB184" s="5" t="s">
        <v>46</v>
      </c>
      <c r="AC184" s="5" t="s">
        <v>46</v>
      </c>
      <c r="AD184" s="5" t="s">
        <v>46</v>
      </c>
      <c r="AE184" s="5" t="s">
        <v>47</v>
      </c>
      <c r="AF184" s="5" t="s">
        <v>66</v>
      </c>
    </row>
    <row r="185" spans="1:32" ht="30" customHeight="1" x14ac:dyDescent="0.35">
      <c r="A185" s="5" t="s">
        <v>58</v>
      </c>
      <c r="B185" s="5" t="s">
        <v>33</v>
      </c>
      <c r="C185" s="5"/>
      <c r="D185" s="5" t="s">
        <v>34</v>
      </c>
      <c r="E185" s="6" t="s">
        <v>359</v>
      </c>
      <c r="F185" s="5" t="s">
        <v>35</v>
      </c>
      <c r="G185" s="5" t="s">
        <v>360</v>
      </c>
      <c r="H185" s="5" t="s">
        <v>73</v>
      </c>
      <c r="I185" s="5" t="s">
        <v>361</v>
      </c>
      <c r="J185" s="5">
        <v>11</v>
      </c>
      <c r="K185" s="5">
        <v>3302</v>
      </c>
      <c r="L185" s="5">
        <v>6150</v>
      </c>
      <c r="M185" s="5">
        <f t="shared" ref="M185:M190" si="6">K185+L185</f>
        <v>9452</v>
      </c>
      <c r="N185" s="5" t="s">
        <v>362</v>
      </c>
      <c r="O185" s="5">
        <v>17516</v>
      </c>
      <c r="P185" s="5" t="str">
        <f t="shared" si="0"/>
        <v>Heterogeneous</v>
      </c>
      <c r="Q185" s="5">
        <v>62</v>
      </c>
      <c r="R185" s="5" t="str">
        <f t="shared" si="4"/>
        <v>insignificant</v>
      </c>
      <c r="S185" s="5">
        <v>0.78</v>
      </c>
      <c r="T185" s="5">
        <v>0.78</v>
      </c>
      <c r="U185" s="5">
        <v>0.218</v>
      </c>
      <c r="V185" s="7" t="s">
        <v>115</v>
      </c>
      <c r="W185" s="7" t="s">
        <v>116</v>
      </c>
      <c r="X185" s="5" t="s">
        <v>42</v>
      </c>
      <c r="Y185" s="5" t="s">
        <v>43</v>
      </c>
      <c r="Z185" s="5" t="s">
        <v>44</v>
      </c>
      <c r="AA185" s="5" t="s">
        <v>43</v>
      </c>
      <c r="AB185" s="5" t="s">
        <v>76</v>
      </c>
      <c r="AC185" s="5" t="s">
        <v>46</v>
      </c>
      <c r="AD185" s="5" t="s">
        <v>46</v>
      </c>
      <c r="AE185" s="5" t="s">
        <v>47</v>
      </c>
      <c r="AF185" s="5" t="s">
        <v>48</v>
      </c>
    </row>
    <row r="186" spans="1:32" ht="30" hidden="1" customHeight="1" x14ac:dyDescent="0.35">
      <c r="A186" s="5" t="s">
        <v>58</v>
      </c>
      <c r="B186" s="5" t="s">
        <v>67</v>
      </c>
      <c r="C186" s="5" t="s">
        <v>68</v>
      </c>
      <c r="D186" s="5" t="s">
        <v>34</v>
      </c>
      <c r="E186" s="6" t="s">
        <v>359</v>
      </c>
      <c r="F186" s="5" t="s">
        <v>35</v>
      </c>
      <c r="G186" s="5" t="s">
        <v>360</v>
      </c>
      <c r="H186" s="5" t="s">
        <v>37</v>
      </c>
      <c r="I186" s="5" t="s">
        <v>363</v>
      </c>
      <c r="J186" s="5">
        <v>7</v>
      </c>
      <c r="K186" s="5">
        <v>432</v>
      </c>
      <c r="L186" s="5">
        <v>592</v>
      </c>
      <c r="M186" s="5">
        <f t="shared" si="6"/>
        <v>1024</v>
      </c>
      <c r="N186" s="5" t="s">
        <v>364</v>
      </c>
      <c r="O186" s="5">
        <v>14727</v>
      </c>
      <c r="P186" s="5" t="str">
        <f t="shared" si="0"/>
        <v>Heterogeneous</v>
      </c>
      <c r="Q186" s="5">
        <v>72</v>
      </c>
      <c r="R186" s="5" t="str">
        <f t="shared" si="4"/>
        <v>significant</v>
      </c>
      <c r="S186" s="5">
        <v>0.01</v>
      </c>
      <c r="T186" s="5" t="s">
        <v>230</v>
      </c>
      <c r="U186" s="5"/>
      <c r="V186" s="7" t="s">
        <v>115</v>
      </c>
      <c r="W186" s="7" t="s">
        <v>116</v>
      </c>
      <c r="X186" s="5" t="s">
        <v>42</v>
      </c>
      <c r="Y186" s="5" t="s">
        <v>43</v>
      </c>
      <c r="Z186" s="5" t="s">
        <v>56</v>
      </c>
      <c r="AA186" s="5" t="s">
        <v>45</v>
      </c>
      <c r="AB186" s="5" t="s">
        <v>76</v>
      </c>
      <c r="AC186" s="5" t="s">
        <v>46</v>
      </c>
      <c r="AD186" s="5" t="s">
        <v>46</v>
      </c>
      <c r="AE186" s="5" t="s">
        <v>47</v>
      </c>
      <c r="AF186" s="5" t="s">
        <v>66</v>
      </c>
    </row>
    <row r="187" spans="1:32" ht="30" hidden="1" customHeight="1" x14ac:dyDescent="0.35">
      <c r="A187" s="5" t="s">
        <v>58</v>
      </c>
      <c r="B187" s="5" t="s">
        <v>63</v>
      </c>
      <c r="C187" s="5" t="s">
        <v>64</v>
      </c>
      <c r="D187" s="5" t="s">
        <v>34</v>
      </c>
      <c r="E187" s="6" t="s">
        <v>359</v>
      </c>
      <c r="F187" s="5" t="s">
        <v>35</v>
      </c>
      <c r="G187" s="5" t="s">
        <v>360</v>
      </c>
      <c r="H187" s="5" t="s">
        <v>37</v>
      </c>
      <c r="I187" s="5" t="s">
        <v>365</v>
      </c>
      <c r="J187" s="6">
        <v>7</v>
      </c>
      <c r="K187" s="5">
        <v>1213</v>
      </c>
      <c r="L187" s="6">
        <v>2365</v>
      </c>
      <c r="M187" s="5">
        <f t="shared" si="6"/>
        <v>3578</v>
      </c>
      <c r="N187" s="5" t="s">
        <v>366</v>
      </c>
      <c r="O187" s="6">
        <f t="shared" ref="O187:O188" si="7">3773+7034</f>
        <v>10807</v>
      </c>
      <c r="P187" s="5" t="str">
        <f t="shared" si="0"/>
        <v>Heterogeneous</v>
      </c>
      <c r="Q187" s="6" t="s">
        <v>260</v>
      </c>
      <c r="R187" s="5" t="str">
        <f t="shared" si="4"/>
        <v>insignificant</v>
      </c>
      <c r="S187" s="6">
        <v>0.37</v>
      </c>
      <c r="T187" s="6">
        <v>0.37</v>
      </c>
      <c r="U187" s="5"/>
      <c r="V187" s="7" t="s">
        <v>115</v>
      </c>
      <c r="W187" s="7" t="s">
        <v>116</v>
      </c>
      <c r="X187" s="5" t="s">
        <v>43</v>
      </c>
      <c r="Y187" s="5" t="s">
        <v>43</v>
      </c>
      <c r="Z187" s="5" t="s">
        <v>44</v>
      </c>
      <c r="AA187" s="5" t="s">
        <v>45</v>
      </c>
      <c r="AB187" s="5" t="s">
        <v>76</v>
      </c>
      <c r="AC187" s="5" t="s">
        <v>46</v>
      </c>
      <c r="AD187" s="5" t="s">
        <v>46</v>
      </c>
      <c r="AE187" s="5" t="s">
        <v>47</v>
      </c>
      <c r="AF187" s="5" t="s">
        <v>48</v>
      </c>
    </row>
    <row r="188" spans="1:32" ht="30" hidden="1" customHeight="1" x14ac:dyDescent="0.35">
      <c r="A188" s="5" t="s">
        <v>58</v>
      </c>
      <c r="B188" s="5" t="s">
        <v>63</v>
      </c>
      <c r="C188" s="5" t="s">
        <v>96</v>
      </c>
      <c r="D188" s="5" t="s">
        <v>34</v>
      </c>
      <c r="E188" s="6" t="s">
        <v>359</v>
      </c>
      <c r="F188" s="5" t="s">
        <v>35</v>
      </c>
      <c r="G188" s="5" t="s">
        <v>360</v>
      </c>
      <c r="H188" s="5" t="s">
        <v>37</v>
      </c>
      <c r="I188" s="5" t="s">
        <v>367</v>
      </c>
      <c r="J188" s="6">
        <v>7</v>
      </c>
      <c r="K188" s="5">
        <v>918</v>
      </c>
      <c r="L188" s="6">
        <v>2180</v>
      </c>
      <c r="M188" s="5">
        <f t="shared" si="6"/>
        <v>3098</v>
      </c>
      <c r="N188" s="5" t="s">
        <v>366</v>
      </c>
      <c r="O188" s="6">
        <f t="shared" si="7"/>
        <v>10807</v>
      </c>
      <c r="P188" s="5" t="str">
        <f t="shared" si="0"/>
        <v>Not heterogeneous</v>
      </c>
      <c r="Q188" s="6">
        <v>49</v>
      </c>
      <c r="R188" s="5" t="str">
        <f t="shared" si="4"/>
        <v>significant</v>
      </c>
      <c r="S188" s="6">
        <v>2.0000000000000001E-4</v>
      </c>
      <c r="T188" s="6">
        <v>7.0000000000000007E-2</v>
      </c>
      <c r="U188" s="5"/>
      <c r="V188" s="7" t="s">
        <v>115</v>
      </c>
      <c r="W188" s="7" t="s">
        <v>116</v>
      </c>
      <c r="X188" s="5" t="s">
        <v>55</v>
      </c>
      <c r="Y188" s="5" t="s">
        <v>43</v>
      </c>
      <c r="Z188" s="5" t="s">
        <v>56</v>
      </c>
      <c r="AA188" s="5" t="s">
        <v>45</v>
      </c>
      <c r="AB188" s="5" t="s">
        <v>76</v>
      </c>
      <c r="AC188" s="5" t="s">
        <v>46</v>
      </c>
      <c r="AD188" s="5" t="s">
        <v>46</v>
      </c>
      <c r="AE188" s="5" t="s">
        <v>75</v>
      </c>
      <c r="AF188" s="5" t="s">
        <v>57</v>
      </c>
    </row>
    <row r="189" spans="1:32" ht="30" hidden="1" customHeight="1" x14ac:dyDescent="0.35">
      <c r="A189" s="5" t="s">
        <v>58</v>
      </c>
      <c r="B189" s="5" t="s">
        <v>63</v>
      </c>
      <c r="C189" s="5" t="s">
        <v>368</v>
      </c>
      <c r="D189" s="5" t="s">
        <v>34</v>
      </c>
      <c r="E189" s="6" t="s">
        <v>359</v>
      </c>
      <c r="F189" s="5" t="s">
        <v>35</v>
      </c>
      <c r="G189" s="5" t="s">
        <v>360</v>
      </c>
      <c r="H189" s="5" t="s">
        <v>37</v>
      </c>
      <c r="I189" s="5" t="s">
        <v>124</v>
      </c>
      <c r="J189" s="6">
        <v>2</v>
      </c>
      <c r="K189" s="5">
        <v>92</v>
      </c>
      <c r="L189" s="5">
        <v>135</v>
      </c>
      <c r="M189" s="5">
        <f t="shared" si="6"/>
        <v>227</v>
      </c>
      <c r="N189" s="5" t="s">
        <v>369</v>
      </c>
      <c r="O189" s="6">
        <f t="shared" ref="O189:O190" si="8">1892+3975</f>
        <v>5867</v>
      </c>
      <c r="P189" s="5" t="str">
        <f t="shared" si="0"/>
        <v>Heterogeneous</v>
      </c>
      <c r="Q189" s="6" t="s">
        <v>86</v>
      </c>
      <c r="R189" s="5" t="str">
        <f t="shared" si="4"/>
        <v>significant</v>
      </c>
      <c r="S189" s="6">
        <v>6.0000000000000001E-3</v>
      </c>
      <c r="T189" s="6">
        <v>0.88</v>
      </c>
      <c r="U189" s="5"/>
      <c r="V189" s="7" t="s">
        <v>115</v>
      </c>
      <c r="W189" s="7" t="s">
        <v>116</v>
      </c>
      <c r="X189" s="5" t="s">
        <v>43</v>
      </c>
      <c r="Y189" s="5" t="s">
        <v>43</v>
      </c>
      <c r="Z189" s="5" t="s">
        <v>56</v>
      </c>
      <c r="AA189" s="5" t="s">
        <v>45</v>
      </c>
      <c r="AB189" s="5" t="s">
        <v>76</v>
      </c>
      <c r="AC189" s="5" t="s">
        <v>46</v>
      </c>
      <c r="AD189" s="5" t="s">
        <v>46</v>
      </c>
      <c r="AE189" s="5" t="s">
        <v>75</v>
      </c>
      <c r="AF189" s="5" t="s">
        <v>66</v>
      </c>
    </row>
    <row r="190" spans="1:32" ht="30" hidden="1" customHeight="1" x14ac:dyDescent="0.35">
      <c r="A190" s="5" t="s">
        <v>58</v>
      </c>
      <c r="B190" s="5" t="s">
        <v>63</v>
      </c>
      <c r="C190" s="5" t="s">
        <v>370</v>
      </c>
      <c r="D190" s="5" t="s">
        <v>34</v>
      </c>
      <c r="E190" s="6" t="s">
        <v>359</v>
      </c>
      <c r="F190" s="5" t="s">
        <v>35</v>
      </c>
      <c r="G190" s="5" t="s">
        <v>360</v>
      </c>
      <c r="H190" s="5" t="s">
        <v>37</v>
      </c>
      <c r="I190" s="5" t="s">
        <v>371</v>
      </c>
      <c r="J190" s="6">
        <v>2</v>
      </c>
      <c r="K190" s="6">
        <v>78</v>
      </c>
      <c r="L190" s="6">
        <v>146</v>
      </c>
      <c r="M190" s="5">
        <f t="shared" si="6"/>
        <v>224</v>
      </c>
      <c r="N190" s="5" t="s">
        <v>369</v>
      </c>
      <c r="O190" s="6">
        <f t="shared" si="8"/>
        <v>5867</v>
      </c>
      <c r="P190" s="5" t="str">
        <f t="shared" si="0"/>
        <v>Heterogeneous</v>
      </c>
      <c r="Q190" s="6" t="s">
        <v>127</v>
      </c>
      <c r="R190" s="5" t="str">
        <f t="shared" si="4"/>
        <v>insignificant</v>
      </c>
      <c r="S190" s="6">
        <v>0.5</v>
      </c>
      <c r="T190" s="6">
        <v>0.28999999999999998</v>
      </c>
      <c r="U190" s="5"/>
      <c r="V190" s="7" t="s">
        <v>115</v>
      </c>
      <c r="W190" s="7" t="s">
        <v>116</v>
      </c>
      <c r="X190" s="5" t="s">
        <v>43</v>
      </c>
      <c r="Y190" s="5" t="s">
        <v>43</v>
      </c>
      <c r="Z190" s="5" t="s">
        <v>44</v>
      </c>
      <c r="AA190" s="5" t="s">
        <v>45</v>
      </c>
      <c r="AB190" s="5" t="s">
        <v>76</v>
      </c>
      <c r="AC190" s="5" t="s">
        <v>46</v>
      </c>
      <c r="AD190" s="5" t="s">
        <v>46</v>
      </c>
      <c r="AE190" s="5" t="s">
        <v>47</v>
      </c>
      <c r="AF190" s="5" t="s">
        <v>48</v>
      </c>
    </row>
    <row r="191" spans="1:32" ht="15.75" customHeight="1" x14ac:dyDescent="0.3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ht="15.75" customHeight="1" x14ac:dyDescent="0.3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ht="15.75" customHeight="1" x14ac:dyDescent="0.3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ht="15.75" customHeight="1" x14ac:dyDescent="0.3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ht="15.75" customHeight="1" x14ac:dyDescent="0.3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ht="15.75" customHeight="1" x14ac:dyDescent="0.3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ht="15.75" customHeight="1" x14ac:dyDescent="0.3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ht="15.75" customHeight="1" x14ac:dyDescent="0.3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ht="15.75" customHeight="1" x14ac:dyDescent="0.3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ht="15" customHeight="1" x14ac:dyDescent="0.3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ht="15" customHeight="1" x14ac:dyDescent="0.3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ht="15" customHeight="1" x14ac:dyDescent="0.3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ht="15" customHeight="1" x14ac:dyDescent="0.3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ht="15" customHeight="1" x14ac:dyDescent="0.3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5" customHeight="1" x14ac:dyDescent="0.3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5" customHeight="1" x14ac:dyDescent="0.3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ht="15" customHeight="1" x14ac:dyDescent="0.3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ht="15" customHeight="1" x14ac:dyDescent="0.3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5" customHeight="1" x14ac:dyDescent="0.3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spans="1:32" ht="15" customHeight="1" x14ac:dyDescent="0.3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2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5" customHeight="1" x14ac:dyDescent="0.3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spans="1:32" ht="15" customHeight="1" x14ac:dyDescent="0.3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spans="1:32" ht="15" customHeight="1" x14ac:dyDescent="0.3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spans="1:32" ht="15" customHeight="1" x14ac:dyDescent="0.3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spans="1:32" ht="15" customHeight="1" x14ac:dyDescent="0.3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2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spans="1:32" ht="15" customHeight="1" x14ac:dyDescent="0.3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spans="1:32" ht="15" customHeight="1" x14ac:dyDescent="0.3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spans="1:32" ht="15" customHeight="1" x14ac:dyDescent="0.3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spans="1:32" ht="15" customHeight="1" x14ac:dyDescent="0.3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spans="1:32" ht="15" customHeight="1" x14ac:dyDescent="0.3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spans="1:32" ht="15" customHeight="1" x14ac:dyDescent="0.3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spans="1:32" ht="15" customHeight="1" x14ac:dyDescent="0.3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spans="1:32" ht="15" customHeight="1" x14ac:dyDescent="0.3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spans="1:32" ht="15" customHeight="1" x14ac:dyDescent="0.3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spans="1:32" ht="15" customHeight="1" x14ac:dyDescent="0.3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spans="1:32" ht="15" customHeight="1" x14ac:dyDescent="0.3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spans="1:32" ht="15" customHeight="1" x14ac:dyDescent="0.3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spans="1:32" ht="15" customHeight="1" x14ac:dyDescent="0.3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spans="1:32" ht="15" customHeight="1" x14ac:dyDescent="0.3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ht="15" customHeight="1" x14ac:dyDescent="0.3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spans="1:32" ht="15" customHeight="1" x14ac:dyDescent="0.3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spans="1:32" ht="15" customHeight="1" x14ac:dyDescent="0.3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spans="1:32" ht="15" customHeight="1" x14ac:dyDescent="0.3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spans="1:32" ht="15" customHeight="1" x14ac:dyDescent="0.3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ht="15" customHeight="1" x14ac:dyDescent="0.3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2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spans="1:32" ht="15" customHeight="1" x14ac:dyDescent="0.3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spans="1:32" ht="15" customHeight="1" x14ac:dyDescent="0.3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spans="1:32" ht="15" customHeight="1" x14ac:dyDescent="0.3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spans="1:32" ht="15" customHeight="1" x14ac:dyDescent="0.3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spans="1:32" ht="15" customHeight="1" x14ac:dyDescent="0.3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ht="15" customHeight="1" x14ac:dyDescent="0.3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spans="1:32" ht="15.75" customHeight="1" x14ac:dyDescent="0.3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spans="1:32" ht="15.75" customHeight="1" x14ac:dyDescent="0.3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spans="1:32" ht="15.75" customHeight="1" x14ac:dyDescent="0.3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spans="1:32" ht="15.75" customHeight="1" x14ac:dyDescent="0.3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spans="1:32" ht="15.75" customHeight="1" x14ac:dyDescent="0.3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spans="1:32" ht="15.75" customHeight="1" x14ac:dyDescent="0.3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spans="1:32" ht="15.75" customHeight="1" x14ac:dyDescent="0.3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spans="1:32" ht="15.75" customHeight="1" x14ac:dyDescent="0.3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spans="1:32" ht="15.75" customHeight="1" x14ac:dyDescent="0.3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spans="1:32" ht="15.75" customHeight="1" x14ac:dyDescent="0.3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spans="1:32" ht="15.75" customHeight="1" x14ac:dyDescent="0.3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ht="15.75" customHeight="1" x14ac:dyDescent="0.3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spans="1:32" ht="15.75" customHeight="1" x14ac:dyDescent="0.3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spans="1:32" ht="15.75" customHeight="1" x14ac:dyDescent="0.3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spans="1:32" ht="15.75" customHeight="1" x14ac:dyDescent="0.3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spans="1:32" ht="15.75" customHeight="1" x14ac:dyDescent="0.3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spans="1:32" ht="15.75" customHeight="1" x14ac:dyDescent="0.3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ht="15.75" customHeight="1" x14ac:dyDescent="0.3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spans="1:32" ht="15.75" customHeight="1" x14ac:dyDescent="0.3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spans="1:32" ht="15.75" customHeight="1" x14ac:dyDescent="0.3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ht="15.75" customHeight="1" x14ac:dyDescent="0.3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spans="1:32" ht="15.75" customHeight="1" x14ac:dyDescent="0.3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spans="1:32" ht="15.75" customHeight="1" x14ac:dyDescent="0.3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ht="15.75" customHeight="1" x14ac:dyDescent="0.3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spans="1:32" ht="15.75" customHeight="1" x14ac:dyDescent="0.3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spans="1:32" ht="15.75" customHeight="1" x14ac:dyDescent="0.3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spans="1:32" ht="15.75" customHeight="1" x14ac:dyDescent="0.3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spans="1:32" ht="15.75" customHeight="1" x14ac:dyDescent="0.3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spans="1:32" ht="15.75" customHeight="1" x14ac:dyDescent="0.3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ht="15.75" customHeight="1" x14ac:dyDescent="0.3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5.75" customHeight="1" x14ac:dyDescent="0.3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5.75" customHeight="1" x14ac:dyDescent="0.3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ht="15.75" customHeight="1" x14ac:dyDescent="0.3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 ht="15.75" customHeight="1" x14ac:dyDescent="0.3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5.75" customHeight="1" x14ac:dyDescent="0.3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spans="1:32" ht="15.75" customHeight="1" x14ac:dyDescent="0.3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5.75" customHeight="1" x14ac:dyDescent="0.3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spans="1:32" ht="15.75" customHeight="1" x14ac:dyDescent="0.3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spans="1:32" ht="15.75" customHeight="1" x14ac:dyDescent="0.3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spans="1:32" ht="15.75" customHeight="1" x14ac:dyDescent="0.3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spans="1:32" ht="15.75" customHeight="1" x14ac:dyDescent="0.3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spans="1:32" ht="15.75" customHeight="1" x14ac:dyDescent="0.3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spans="1:32" ht="15.75" customHeight="1" x14ac:dyDescent="0.3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spans="1:32" ht="15.75" customHeight="1" x14ac:dyDescent="0.3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spans="1:32" ht="15.75" customHeight="1" x14ac:dyDescent="0.3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spans="1:32" ht="15.75" customHeight="1" x14ac:dyDescent="0.3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spans="1:32" ht="15.75" customHeight="1" x14ac:dyDescent="0.3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spans="1:32" ht="15.75" customHeight="1" x14ac:dyDescent="0.3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spans="1:32" ht="15.75" customHeight="1" x14ac:dyDescent="0.3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spans="1:32" ht="15.75" customHeight="1" x14ac:dyDescent="0.3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spans="1:32" ht="15.75" customHeight="1" x14ac:dyDescent="0.3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spans="1:32" ht="15.75" customHeight="1" x14ac:dyDescent="0.3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spans="1:32" ht="15.75" customHeight="1" x14ac:dyDescent="0.3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spans="1:32" ht="15.75" customHeight="1" x14ac:dyDescent="0.3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spans="1:32" ht="15.75" customHeight="1" x14ac:dyDescent="0.3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spans="1:32" ht="15.75" customHeight="1" x14ac:dyDescent="0.3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spans="1:32" ht="15.75" customHeight="1" x14ac:dyDescent="0.3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spans="1:32" ht="15.75" customHeight="1" x14ac:dyDescent="0.3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spans="1:32" ht="15.75" customHeight="1" x14ac:dyDescent="0.3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spans="1:32" ht="15.75" customHeight="1" x14ac:dyDescent="0.3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spans="1:32" ht="15.75" customHeight="1" x14ac:dyDescent="0.3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spans="1:32" ht="15.75" customHeight="1" x14ac:dyDescent="0.3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spans="1:32" ht="15.75" customHeight="1" x14ac:dyDescent="0.3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spans="1:32" ht="15.75" customHeight="1" x14ac:dyDescent="0.3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spans="1:32" ht="15.75" customHeight="1" x14ac:dyDescent="0.3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spans="1:32" ht="15.75" customHeight="1" x14ac:dyDescent="0.3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spans="1:32" ht="15.75" customHeight="1" x14ac:dyDescent="0.3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spans="1:32" ht="15.75" customHeight="1" x14ac:dyDescent="0.3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spans="1:32" ht="15.75" customHeight="1" x14ac:dyDescent="0.3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spans="1:32" ht="15.75" customHeight="1" x14ac:dyDescent="0.3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spans="1:32" ht="15.75" customHeight="1" x14ac:dyDescent="0.3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spans="1:32" ht="15.75" customHeight="1" x14ac:dyDescent="0.3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spans="1:32" ht="15.75" customHeight="1" x14ac:dyDescent="0.3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spans="1:32" ht="15.75" customHeight="1" x14ac:dyDescent="0.3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spans="1:32" ht="15.75" customHeight="1" x14ac:dyDescent="0.3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spans="1:32" ht="15.75" customHeight="1" x14ac:dyDescent="0.3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spans="1:32" ht="15.75" customHeight="1" x14ac:dyDescent="0.3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spans="1:32" ht="15.75" customHeight="1" x14ac:dyDescent="0.3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spans="1:32" ht="15.75" customHeight="1" x14ac:dyDescent="0.3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spans="1:32" ht="15.75" customHeight="1" x14ac:dyDescent="0.3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spans="1:32" ht="15.75" customHeight="1" x14ac:dyDescent="0.3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spans="1:32" ht="15.75" customHeight="1" x14ac:dyDescent="0.3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spans="1:32" ht="15.75" customHeight="1" x14ac:dyDescent="0.3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spans="1:32" ht="15.75" customHeight="1" x14ac:dyDescent="0.3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spans="1:32" ht="15.75" customHeight="1" x14ac:dyDescent="0.3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spans="1:32" ht="15.75" customHeight="1" x14ac:dyDescent="0.3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spans="1:32" ht="15.75" customHeight="1" x14ac:dyDescent="0.3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spans="1:32" ht="15.75" customHeight="1" x14ac:dyDescent="0.3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spans="1:32" ht="15.75" customHeight="1" x14ac:dyDescent="0.3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spans="1:32" ht="15.75" customHeight="1" x14ac:dyDescent="0.3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spans="1:32" ht="15.75" customHeight="1" x14ac:dyDescent="0.3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spans="1:32" ht="15.75" customHeight="1" x14ac:dyDescent="0.3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spans="1:32" ht="15.75" customHeight="1" x14ac:dyDescent="0.3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spans="1:32" ht="15.75" customHeight="1" x14ac:dyDescent="0.3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spans="1:32" ht="15.75" customHeight="1" x14ac:dyDescent="0.3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spans="1:32" ht="15.75" customHeight="1" x14ac:dyDescent="0.3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1:32" ht="15.75" customHeight="1" x14ac:dyDescent="0.3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1:32" ht="15.75" customHeight="1" x14ac:dyDescent="0.3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ht="15.75" customHeight="1" x14ac:dyDescent="0.3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1:32" ht="15.75" customHeight="1" x14ac:dyDescent="0.3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1:32" ht="15.75" customHeight="1" x14ac:dyDescent="0.3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1:32" ht="15.75" customHeight="1" x14ac:dyDescent="0.3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spans="1:32" ht="15.75" customHeight="1" x14ac:dyDescent="0.3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1:32" ht="15.75" customHeight="1" x14ac:dyDescent="0.3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spans="1:32" ht="15.75" customHeight="1" x14ac:dyDescent="0.3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spans="1:32" ht="15.75" customHeight="1" x14ac:dyDescent="0.3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spans="1:32" ht="15.75" customHeight="1" x14ac:dyDescent="0.3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spans="1:32" ht="15.75" customHeight="1" x14ac:dyDescent="0.3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spans="1:32" ht="15.75" customHeight="1" x14ac:dyDescent="0.3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spans="1:32" ht="15.75" customHeight="1" x14ac:dyDescent="0.3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spans="1:32" ht="15.75" customHeight="1" x14ac:dyDescent="0.3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spans="1:32" ht="15.75" customHeight="1" x14ac:dyDescent="0.3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spans="1:32" ht="15.75" customHeight="1" x14ac:dyDescent="0.3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spans="1:32" ht="15.75" customHeight="1" x14ac:dyDescent="0.3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spans="1:32" ht="15.75" customHeight="1" x14ac:dyDescent="0.3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spans="1:32" ht="15.75" customHeight="1" x14ac:dyDescent="0.3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spans="1:32" ht="15.75" customHeight="1" x14ac:dyDescent="0.3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spans="1:32" ht="15.75" customHeight="1" x14ac:dyDescent="0.3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spans="1:32" ht="15.75" customHeight="1" x14ac:dyDescent="0.3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spans="1:32" ht="15.75" customHeight="1" x14ac:dyDescent="0.3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spans="1:32" ht="15.75" customHeight="1" x14ac:dyDescent="0.3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spans="1:32" ht="15.75" customHeight="1" x14ac:dyDescent="0.3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spans="1:32" ht="15.75" customHeight="1" x14ac:dyDescent="0.3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spans="1:32" ht="15.75" customHeight="1" x14ac:dyDescent="0.3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spans="1:32" ht="15.75" customHeight="1" x14ac:dyDescent="0.3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spans="1:32" ht="15.75" customHeight="1" x14ac:dyDescent="0.3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spans="1:32" ht="15.75" customHeight="1" x14ac:dyDescent="0.3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spans="1:32" ht="15.75" customHeight="1" x14ac:dyDescent="0.3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spans="1:32" ht="15.75" customHeight="1" x14ac:dyDescent="0.3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spans="1:32" ht="15.75" customHeight="1" x14ac:dyDescent="0.3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spans="1:32" ht="15.75" customHeight="1" x14ac:dyDescent="0.3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spans="1:32" ht="15.75" customHeight="1" x14ac:dyDescent="0.3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spans="1:32" ht="15.75" customHeight="1" x14ac:dyDescent="0.3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spans="1:32" ht="15.75" customHeight="1" x14ac:dyDescent="0.3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spans="1:32" ht="15.75" customHeight="1" x14ac:dyDescent="0.3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spans="1:32" ht="15.75" customHeight="1" x14ac:dyDescent="0.3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spans="1:32" ht="15.75" customHeight="1" x14ac:dyDescent="0.3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spans="1:32" ht="15.75" customHeight="1" x14ac:dyDescent="0.3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spans="1:32" ht="15.75" customHeight="1" x14ac:dyDescent="0.3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spans="1:32" ht="15.75" customHeight="1" x14ac:dyDescent="0.3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spans="1:32" ht="15.75" customHeight="1" x14ac:dyDescent="0.3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spans="1:32" ht="15.75" customHeight="1" x14ac:dyDescent="0.3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spans="1:32" ht="15.75" customHeight="1" x14ac:dyDescent="0.3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spans="1:32" ht="15.75" customHeight="1" x14ac:dyDescent="0.3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spans="1:32" ht="15.75" customHeight="1" x14ac:dyDescent="0.3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spans="1:32" ht="15.75" customHeight="1" x14ac:dyDescent="0.3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spans="1:32" ht="15.75" customHeight="1" x14ac:dyDescent="0.3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spans="1:32" ht="15.75" customHeight="1" x14ac:dyDescent="0.3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spans="1:32" ht="15.75" customHeight="1" x14ac:dyDescent="0.3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spans="1:32" ht="15.75" customHeight="1" x14ac:dyDescent="0.3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spans="1:32" ht="15.75" customHeight="1" x14ac:dyDescent="0.3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spans="1:32" ht="15.75" customHeight="1" x14ac:dyDescent="0.3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spans="1:32" ht="15.75" customHeight="1" x14ac:dyDescent="0.3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spans="1:32" ht="15.75" customHeight="1" x14ac:dyDescent="0.3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spans="1:32" ht="15.75" customHeight="1" x14ac:dyDescent="0.3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spans="1:32" ht="15.75" customHeight="1" x14ac:dyDescent="0.3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spans="1:32" ht="15.75" customHeight="1" x14ac:dyDescent="0.3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spans="1:32" ht="15.75" customHeight="1" x14ac:dyDescent="0.3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spans="1:32" ht="15.75" customHeight="1" x14ac:dyDescent="0.3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spans="1:32" ht="15.75" customHeight="1" x14ac:dyDescent="0.3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spans="1:32" ht="15.75" customHeight="1" x14ac:dyDescent="0.3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spans="1:32" ht="15.75" customHeight="1" x14ac:dyDescent="0.3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spans="1:32" ht="15.75" customHeight="1" x14ac:dyDescent="0.3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spans="1:32" ht="15.75" customHeight="1" x14ac:dyDescent="0.3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spans="1:32" ht="15.75" customHeight="1" x14ac:dyDescent="0.3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spans="1:32" ht="15.75" customHeight="1" x14ac:dyDescent="0.3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spans="1:32" ht="15.75" customHeight="1" x14ac:dyDescent="0.3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spans="1:32" ht="15.75" customHeight="1" x14ac:dyDescent="0.3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spans="1:32" ht="15.75" customHeight="1" x14ac:dyDescent="0.3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spans="1:32" ht="15.75" customHeight="1" x14ac:dyDescent="0.3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spans="1:32" ht="15.75" customHeight="1" x14ac:dyDescent="0.3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spans="1:32" ht="15.75" customHeight="1" x14ac:dyDescent="0.3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spans="1:32" ht="15.75" customHeight="1" x14ac:dyDescent="0.3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spans="1:32" ht="15.75" customHeight="1" x14ac:dyDescent="0.3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spans="1:32" ht="15.75" customHeight="1" x14ac:dyDescent="0.3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spans="1:32" ht="15.75" customHeight="1" x14ac:dyDescent="0.3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spans="1:32" ht="15.75" customHeight="1" x14ac:dyDescent="0.3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spans="1:32" ht="15.75" customHeight="1" x14ac:dyDescent="0.3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spans="1:32" ht="15.75" customHeight="1" x14ac:dyDescent="0.3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spans="1:32" ht="15.75" customHeight="1" x14ac:dyDescent="0.3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spans="1:32" ht="15.75" customHeight="1" x14ac:dyDescent="0.3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spans="1:32" ht="15.75" customHeight="1" x14ac:dyDescent="0.3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spans="1:32" ht="15.75" customHeight="1" x14ac:dyDescent="0.3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spans="1:32" ht="15.75" customHeight="1" x14ac:dyDescent="0.3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spans="1:32" ht="15.75" customHeight="1" x14ac:dyDescent="0.3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spans="1:32" ht="15.75" customHeight="1" x14ac:dyDescent="0.3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spans="1:32" ht="15.75" customHeight="1" x14ac:dyDescent="0.3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spans="1:32" ht="15.75" customHeight="1" x14ac:dyDescent="0.3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spans="1:32" ht="15.75" customHeight="1" x14ac:dyDescent="0.3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spans="1:32" ht="15.75" customHeight="1" x14ac:dyDescent="0.3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spans="1:32" ht="15.75" customHeight="1" x14ac:dyDescent="0.3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spans="1:32" ht="15.75" customHeight="1" x14ac:dyDescent="0.3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spans="1:32" ht="15.75" customHeight="1" x14ac:dyDescent="0.3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spans="1:32" ht="15.75" customHeight="1" x14ac:dyDescent="0.3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spans="1:32" ht="15.75" customHeight="1" x14ac:dyDescent="0.3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spans="1:32" ht="15.75" customHeight="1" x14ac:dyDescent="0.3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spans="1:32" ht="15.75" customHeight="1" x14ac:dyDescent="0.3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spans="1:32" ht="15.75" customHeight="1" x14ac:dyDescent="0.3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spans="1:32" ht="15.75" customHeight="1" x14ac:dyDescent="0.3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spans="1:32" ht="15.75" customHeight="1" x14ac:dyDescent="0.3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spans="1:32" ht="15.75" customHeight="1" x14ac:dyDescent="0.3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spans="1:32" ht="15.75" customHeight="1" x14ac:dyDescent="0.3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spans="1:32" ht="15.75" customHeight="1" x14ac:dyDescent="0.3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spans="1:32" ht="15.75" customHeight="1" x14ac:dyDescent="0.3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spans="1:32" ht="15.75" customHeight="1" x14ac:dyDescent="0.3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spans="1:32" ht="15.75" customHeight="1" x14ac:dyDescent="0.3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spans="1:32" ht="15.75" customHeight="1" x14ac:dyDescent="0.3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spans="1:32" ht="15.75" customHeight="1" x14ac:dyDescent="0.3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spans="1:32" ht="15.75" customHeight="1" x14ac:dyDescent="0.3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spans="1:32" ht="15.75" customHeight="1" x14ac:dyDescent="0.3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spans="1:32" ht="15.75" customHeight="1" x14ac:dyDescent="0.35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spans="1:32" ht="15.75" customHeight="1" x14ac:dyDescent="0.35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spans="1:32" ht="15.75" customHeight="1" x14ac:dyDescent="0.35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spans="1:32" ht="15.75" customHeight="1" x14ac:dyDescent="0.3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spans="1:32" ht="15.75" customHeight="1" x14ac:dyDescent="0.35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spans="1:32" ht="15.75" customHeight="1" x14ac:dyDescent="0.35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spans="1:32" ht="15.75" customHeight="1" x14ac:dyDescent="0.35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spans="1:32" ht="15.75" customHeight="1" x14ac:dyDescent="0.35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spans="1:32" ht="15.75" customHeight="1" x14ac:dyDescent="0.35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spans="1:32" ht="15.75" customHeight="1" x14ac:dyDescent="0.35">
      <c r="A461" s="10"/>
      <c r="B461" s="10"/>
      <c r="C461" s="10"/>
      <c r="D461" s="10"/>
      <c r="E461" s="11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spans="1:32" ht="15.75" customHeight="1" x14ac:dyDescent="0.35">
      <c r="A462" s="10"/>
      <c r="B462" s="10"/>
      <c r="C462" s="10"/>
      <c r="D462" s="10"/>
      <c r="E462" s="11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spans="1:32" ht="15.75" customHeight="1" x14ac:dyDescent="0.35">
      <c r="A463" s="10"/>
      <c r="B463" s="10"/>
      <c r="C463" s="10"/>
      <c r="D463" s="10"/>
      <c r="E463" s="11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spans="1:32" ht="15.75" customHeight="1" x14ac:dyDescent="0.35">
      <c r="A464" s="10"/>
      <c r="B464" s="10"/>
      <c r="C464" s="10"/>
      <c r="D464" s="10"/>
      <c r="E464" s="11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spans="1:32" ht="15.75" customHeight="1" x14ac:dyDescent="0.35">
      <c r="A465" s="10"/>
      <c r="B465" s="10"/>
      <c r="C465" s="10"/>
      <c r="D465" s="10"/>
      <c r="E465" s="11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spans="1:32" ht="15.75" customHeight="1" x14ac:dyDescent="0.35">
      <c r="A466" s="10"/>
      <c r="B466" s="10"/>
      <c r="C466" s="10"/>
      <c r="D466" s="10"/>
      <c r="E466" s="11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spans="1:32" ht="15.75" customHeight="1" x14ac:dyDescent="0.35">
      <c r="A467" s="10"/>
      <c r="B467" s="10"/>
      <c r="C467" s="10"/>
      <c r="D467" s="10"/>
      <c r="E467" s="11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spans="1:32" ht="15.75" customHeight="1" x14ac:dyDescent="0.35">
      <c r="A468" s="10"/>
      <c r="B468" s="10"/>
      <c r="C468" s="10"/>
      <c r="D468" s="10"/>
      <c r="E468" s="11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spans="1:32" ht="15.75" customHeight="1" x14ac:dyDescent="0.35">
      <c r="A469" s="10"/>
      <c r="B469" s="10"/>
      <c r="C469" s="10"/>
      <c r="D469" s="10"/>
      <c r="E469" s="11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spans="1:32" ht="15.75" customHeight="1" x14ac:dyDescent="0.35">
      <c r="A470" s="10"/>
      <c r="B470" s="10"/>
      <c r="C470" s="10"/>
      <c r="D470" s="10"/>
      <c r="E470" s="11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spans="1:32" ht="15.75" customHeight="1" x14ac:dyDescent="0.35">
      <c r="A471" s="10"/>
      <c r="B471" s="10"/>
      <c r="C471" s="10"/>
      <c r="D471" s="10"/>
      <c r="E471" s="11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spans="1:32" ht="15.75" customHeight="1" x14ac:dyDescent="0.35">
      <c r="A472" s="10"/>
      <c r="B472" s="10"/>
      <c r="C472" s="10"/>
      <c r="D472" s="10"/>
      <c r="E472" s="11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spans="1:32" ht="15.75" customHeight="1" x14ac:dyDescent="0.35">
      <c r="A473" s="10"/>
      <c r="B473" s="10"/>
      <c r="C473" s="10"/>
      <c r="D473" s="10"/>
      <c r="E473" s="11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spans="1:32" ht="15.75" customHeight="1" x14ac:dyDescent="0.35">
      <c r="A474" s="10"/>
      <c r="B474" s="10"/>
      <c r="C474" s="10"/>
      <c r="D474" s="10"/>
      <c r="E474" s="11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spans="1:32" ht="15.75" customHeight="1" x14ac:dyDescent="0.35">
      <c r="A475" s="10"/>
      <c r="B475" s="10"/>
      <c r="C475" s="10"/>
      <c r="D475" s="10"/>
      <c r="E475" s="11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spans="1:32" ht="15.75" customHeight="1" x14ac:dyDescent="0.35">
      <c r="A476" s="10"/>
      <c r="B476" s="10"/>
      <c r="C476" s="10"/>
      <c r="D476" s="10"/>
      <c r="E476" s="11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spans="1:32" ht="15.75" customHeight="1" x14ac:dyDescent="0.35">
      <c r="A477" s="10"/>
      <c r="B477" s="10"/>
      <c r="C477" s="10"/>
      <c r="D477" s="10"/>
      <c r="E477" s="11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spans="1:32" ht="15.75" customHeight="1" x14ac:dyDescent="0.35">
      <c r="A478" s="10"/>
      <c r="B478" s="10"/>
      <c r="C478" s="10"/>
      <c r="D478" s="10"/>
      <c r="E478" s="11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spans="1:32" ht="15.75" customHeight="1" x14ac:dyDescent="0.35">
      <c r="A479" s="10"/>
      <c r="B479" s="10"/>
      <c r="C479" s="10"/>
      <c r="D479" s="10"/>
      <c r="E479" s="11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spans="1:32" ht="15.75" customHeight="1" x14ac:dyDescent="0.35">
      <c r="A480" s="10"/>
      <c r="B480" s="10"/>
      <c r="C480" s="10"/>
      <c r="D480" s="10"/>
      <c r="E480" s="11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spans="1:32" ht="15.75" customHeight="1" x14ac:dyDescent="0.35">
      <c r="A481" s="10"/>
      <c r="B481" s="10"/>
      <c r="C481" s="10"/>
      <c r="D481" s="10"/>
      <c r="E481" s="11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spans="1:32" ht="15.75" customHeight="1" x14ac:dyDescent="0.35">
      <c r="A482" s="10"/>
      <c r="B482" s="10"/>
      <c r="C482" s="10"/>
      <c r="D482" s="10"/>
      <c r="E482" s="11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spans="1:32" ht="15.75" customHeight="1" x14ac:dyDescent="0.35">
      <c r="A483" s="10"/>
      <c r="B483" s="10"/>
      <c r="C483" s="10"/>
      <c r="D483" s="10"/>
      <c r="E483" s="11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spans="1:32" ht="15.75" customHeight="1" x14ac:dyDescent="0.35">
      <c r="A484" s="10"/>
      <c r="B484" s="10"/>
      <c r="C484" s="10"/>
      <c r="D484" s="10"/>
      <c r="E484" s="11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spans="1:32" ht="15.75" customHeight="1" x14ac:dyDescent="0.35">
      <c r="A485" s="10"/>
      <c r="B485" s="10"/>
      <c r="C485" s="10"/>
      <c r="D485" s="10"/>
      <c r="E485" s="11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spans="1:32" ht="15.75" customHeight="1" x14ac:dyDescent="0.35">
      <c r="A486" s="10"/>
      <c r="B486" s="10"/>
      <c r="C486" s="10"/>
      <c r="D486" s="10"/>
      <c r="E486" s="11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spans="1:32" ht="15.75" customHeight="1" x14ac:dyDescent="0.35">
      <c r="A487" s="10"/>
      <c r="B487" s="10"/>
      <c r="C487" s="10"/>
      <c r="D487" s="10"/>
      <c r="E487" s="11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spans="1:32" ht="15.75" customHeight="1" x14ac:dyDescent="0.35">
      <c r="A488" s="10"/>
      <c r="B488" s="10"/>
      <c r="C488" s="10"/>
      <c r="D488" s="10"/>
      <c r="E488" s="11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spans="1:32" ht="15.75" customHeight="1" x14ac:dyDescent="0.35">
      <c r="A489" s="10"/>
      <c r="B489" s="10"/>
      <c r="C489" s="10"/>
      <c r="D489" s="10"/>
      <c r="E489" s="11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spans="1:32" ht="15.75" customHeight="1" x14ac:dyDescent="0.35">
      <c r="A490" s="10"/>
      <c r="B490" s="10"/>
      <c r="C490" s="10"/>
      <c r="D490" s="10"/>
      <c r="E490" s="11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spans="1:32" ht="15.75" customHeight="1" x14ac:dyDescent="0.35">
      <c r="A491" s="10"/>
      <c r="B491" s="10"/>
      <c r="C491" s="10"/>
      <c r="D491" s="10"/>
      <c r="E491" s="11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spans="1:32" ht="15.75" customHeight="1" x14ac:dyDescent="0.35">
      <c r="A492" s="10"/>
      <c r="B492" s="10"/>
      <c r="C492" s="10"/>
      <c r="D492" s="10"/>
      <c r="E492" s="11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spans="1:32" ht="15.75" customHeight="1" x14ac:dyDescent="0.35">
      <c r="A493" s="10"/>
      <c r="B493" s="10"/>
      <c r="C493" s="10"/>
      <c r="D493" s="10"/>
      <c r="E493" s="11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spans="1:32" ht="15.75" customHeight="1" x14ac:dyDescent="0.35">
      <c r="A494" s="10"/>
      <c r="B494" s="10"/>
      <c r="C494" s="10"/>
      <c r="D494" s="10"/>
      <c r="E494" s="11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spans="1:32" ht="15.75" customHeight="1" x14ac:dyDescent="0.35">
      <c r="A495" s="10"/>
      <c r="B495" s="10"/>
      <c r="C495" s="10"/>
      <c r="D495" s="10"/>
      <c r="E495" s="11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spans="1:32" ht="15.75" customHeight="1" x14ac:dyDescent="0.35">
      <c r="A496" s="10"/>
      <c r="B496" s="10"/>
      <c r="C496" s="10"/>
      <c r="D496" s="10"/>
      <c r="E496" s="11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spans="1:32" ht="15.75" customHeight="1" x14ac:dyDescent="0.35">
      <c r="A497" s="10"/>
      <c r="B497" s="10"/>
      <c r="C497" s="10"/>
      <c r="D497" s="10"/>
      <c r="E497" s="11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spans="1:32" ht="15.75" customHeight="1" x14ac:dyDescent="0.35">
      <c r="A498" s="10"/>
      <c r="B498" s="10"/>
      <c r="C498" s="10"/>
      <c r="D498" s="10"/>
      <c r="E498" s="11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spans="1:32" ht="15.75" customHeight="1" x14ac:dyDescent="0.35">
      <c r="A499" s="10"/>
      <c r="B499" s="10"/>
      <c r="C499" s="10"/>
      <c r="D499" s="10"/>
      <c r="E499" s="11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spans="1:32" ht="15.75" customHeight="1" x14ac:dyDescent="0.35">
      <c r="A500" s="10"/>
      <c r="B500" s="10"/>
      <c r="C500" s="10"/>
      <c r="D500" s="10"/>
      <c r="E500" s="11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spans="1:32" ht="15.75" customHeight="1" x14ac:dyDescent="0.35">
      <c r="A501" s="10"/>
      <c r="B501" s="10"/>
      <c r="C501" s="10"/>
      <c r="D501" s="10"/>
      <c r="E501" s="11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spans="1:32" ht="15.75" customHeight="1" x14ac:dyDescent="0.35">
      <c r="A502" s="10"/>
      <c r="B502" s="10"/>
      <c r="C502" s="10"/>
      <c r="D502" s="10"/>
      <c r="E502" s="11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spans="1:32" ht="15.75" customHeight="1" x14ac:dyDescent="0.35">
      <c r="A503" s="10"/>
      <c r="B503" s="10"/>
      <c r="C503" s="10"/>
      <c r="D503" s="10"/>
      <c r="E503" s="11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spans="1:32" ht="15.75" customHeight="1" x14ac:dyDescent="0.35">
      <c r="A504" s="10"/>
      <c r="B504" s="10"/>
      <c r="C504" s="10"/>
      <c r="D504" s="10"/>
      <c r="E504" s="11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spans="1:32" ht="15.75" customHeight="1" x14ac:dyDescent="0.35">
      <c r="A505" s="10"/>
      <c r="B505" s="10"/>
      <c r="C505" s="10"/>
      <c r="D505" s="10"/>
      <c r="E505" s="11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spans="1:32" ht="15.75" customHeight="1" x14ac:dyDescent="0.35">
      <c r="A506" s="10"/>
      <c r="B506" s="10"/>
      <c r="C506" s="10"/>
      <c r="D506" s="10"/>
      <c r="E506" s="11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spans="1:32" ht="15.75" customHeight="1" x14ac:dyDescent="0.35">
      <c r="A507" s="10"/>
      <c r="B507" s="10"/>
      <c r="C507" s="10"/>
      <c r="D507" s="10"/>
      <c r="E507" s="11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spans="1:32" ht="15.75" customHeight="1" x14ac:dyDescent="0.35">
      <c r="A508" s="10"/>
      <c r="B508" s="10"/>
      <c r="C508" s="10"/>
      <c r="D508" s="10"/>
      <c r="E508" s="11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spans="1:32" ht="15.75" customHeight="1" x14ac:dyDescent="0.35">
      <c r="A509" s="10"/>
      <c r="B509" s="10"/>
      <c r="C509" s="10"/>
      <c r="D509" s="10"/>
      <c r="E509" s="11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spans="1:32" ht="15.75" customHeight="1" x14ac:dyDescent="0.35">
      <c r="A510" s="10"/>
      <c r="B510" s="10"/>
      <c r="C510" s="10"/>
      <c r="D510" s="10"/>
      <c r="E510" s="11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spans="1:32" ht="15.75" customHeight="1" x14ac:dyDescent="0.35">
      <c r="A511" s="10"/>
      <c r="B511" s="10"/>
      <c r="C511" s="10"/>
      <c r="D511" s="10"/>
      <c r="E511" s="11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spans="1:32" ht="15.75" customHeight="1" x14ac:dyDescent="0.35">
      <c r="A512" s="10"/>
      <c r="B512" s="10"/>
      <c r="C512" s="10"/>
      <c r="D512" s="10"/>
      <c r="E512" s="11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spans="1:32" ht="15.75" customHeight="1" x14ac:dyDescent="0.35">
      <c r="A513" s="10"/>
      <c r="B513" s="10"/>
      <c r="C513" s="10"/>
      <c r="D513" s="10"/>
      <c r="E513" s="11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spans="1:32" ht="15.75" customHeight="1" x14ac:dyDescent="0.35">
      <c r="A514" s="10"/>
      <c r="B514" s="10"/>
      <c r="C514" s="10"/>
      <c r="D514" s="10"/>
      <c r="E514" s="11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spans="1:32" ht="15.75" customHeight="1" x14ac:dyDescent="0.35">
      <c r="A515" s="10"/>
      <c r="B515" s="10"/>
      <c r="C515" s="10"/>
      <c r="D515" s="10"/>
      <c r="E515" s="11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spans="1:32" ht="15.75" customHeight="1" x14ac:dyDescent="0.35">
      <c r="A516" s="10"/>
      <c r="B516" s="10"/>
      <c r="C516" s="10"/>
      <c r="D516" s="10"/>
      <c r="E516" s="11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spans="1:32" ht="15.75" customHeight="1" x14ac:dyDescent="0.35">
      <c r="A517" s="10"/>
      <c r="B517" s="10"/>
      <c r="C517" s="10"/>
      <c r="D517" s="10"/>
      <c r="E517" s="11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spans="1:32" ht="15.75" customHeight="1" x14ac:dyDescent="0.35">
      <c r="A518" s="10"/>
      <c r="B518" s="10"/>
      <c r="C518" s="10"/>
      <c r="D518" s="10"/>
      <c r="E518" s="11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spans="1:32" ht="15.75" customHeight="1" x14ac:dyDescent="0.35">
      <c r="A519" s="10"/>
      <c r="B519" s="10"/>
      <c r="C519" s="10"/>
      <c r="D519" s="10"/>
      <c r="E519" s="11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spans="1:32" ht="15.75" customHeight="1" x14ac:dyDescent="0.35">
      <c r="A520" s="10"/>
      <c r="B520" s="10"/>
      <c r="C520" s="10"/>
      <c r="D520" s="10"/>
      <c r="E520" s="11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spans="1:32" ht="15.75" customHeight="1" x14ac:dyDescent="0.35">
      <c r="A521" s="10"/>
      <c r="B521" s="10"/>
      <c r="C521" s="10"/>
      <c r="D521" s="10"/>
      <c r="E521" s="11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spans="1:32" ht="15.75" customHeight="1" x14ac:dyDescent="0.35">
      <c r="A522" s="10"/>
      <c r="B522" s="10"/>
      <c r="C522" s="10"/>
      <c r="D522" s="10"/>
      <c r="E522" s="11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spans="1:32" ht="15.75" customHeight="1" x14ac:dyDescent="0.35">
      <c r="A523" s="10"/>
      <c r="B523" s="10"/>
      <c r="C523" s="10"/>
      <c r="D523" s="10"/>
      <c r="E523" s="11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spans="1:32" ht="15.75" customHeight="1" x14ac:dyDescent="0.35">
      <c r="A524" s="10"/>
      <c r="B524" s="10"/>
      <c r="C524" s="10"/>
      <c r="D524" s="10"/>
      <c r="E524" s="11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spans="1:32" ht="15.75" customHeight="1" x14ac:dyDescent="0.35">
      <c r="A525" s="10"/>
      <c r="B525" s="10"/>
      <c r="C525" s="10"/>
      <c r="D525" s="10"/>
      <c r="E525" s="11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spans="1:32" ht="15.75" customHeight="1" x14ac:dyDescent="0.35">
      <c r="A526" s="10"/>
      <c r="B526" s="10"/>
      <c r="C526" s="10"/>
      <c r="D526" s="10"/>
      <c r="E526" s="11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spans="1:32" ht="15.75" customHeight="1" x14ac:dyDescent="0.35">
      <c r="A527" s="10"/>
      <c r="B527" s="10"/>
      <c r="C527" s="10"/>
      <c r="D527" s="10"/>
      <c r="E527" s="11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spans="1:32" ht="15.75" customHeight="1" x14ac:dyDescent="0.35">
      <c r="A528" s="10"/>
      <c r="B528" s="10"/>
      <c r="C528" s="10"/>
      <c r="D528" s="10"/>
      <c r="E528" s="11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spans="1:32" ht="15.75" customHeight="1" x14ac:dyDescent="0.35">
      <c r="A529" s="10"/>
      <c r="B529" s="10"/>
      <c r="C529" s="10"/>
      <c r="D529" s="10"/>
      <c r="E529" s="11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spans="1:32" ht="15.75" customHeight="1" x14ac:dyDescent="0.35">
      <c r="A530" s="10"/>
      <c r="B530" s="10"/>
      <c r="C530" s="10"/>
      <c r="D530" s="10"/>
      <c r="E530" s="11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spans="1:32" ht="15.75" customHeight="1" x14ac:dyDescent="0.35">
      <c r="A531" s="10"/>
      <c r="B531" s="10"/>
      <c r="C531" s="10"/>
      <c r="D531" s="10"/>
      <c r="E531" s="11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spans="1:32" ht="15.75" customHeight="1" x14ac:dyDescent="0.35">
      <c r="A532" s="10"/>
      <c r="B532" s="10"/>
      <c r="C532" s="10"/>
      <c r="D532" s="10"/>
      <c r="E532" s="11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spans="1:32" ht="15.75" customHeight="1" x14ac:dyDescent="0.35">
      <c r="A533" s="10"/>
      <c r="B533" s="10"/>
      <c r="C533" s="10"/>
      <c r="D533" s="10"/>
      <c r="E533" s="11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spans="1:32" ht="15.75" customHeight="1" x14ac:dyDescent="0.35">
      <c r="A534" s="10"/>
      <c r="B534" s="10"/>
      <c r="C534" s="10"/>
      <c r="D534" s="10"/>
      <c r="E534" s="11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spans="1:32" ht="15.75" customHeight="1" x14ac:dyDescent="0.35">
      <c r="A535" s="10"/>
      <c r="B535" s="10"/>
      <c r="C535" s="10"/>
      <c r="D535" s="10"/>
      <c r="E535" s="11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spans="1:32" ht="15.75" customHeight="1" x14ac:dyDescent="0.35">
      <c r="A536" s="10"/>
      <c r="B536" s="10"/>
      <c r="C536" s="10"/>
      <c r="D536" s="10"/>
      <c r="E536" s="11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spans="1:32" ht="15.75" customHeight="1" x14ac:dyDescent="0.35">
      <c r="A537" s="10"/>
      <c r="B537" s="10"/>
      <c r="C537" s="10"/>
      <c r="D537" s="10"/>
      <c r="E537" s="11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spans="1:32" ht="15.75" customHeight="1" x14ac:dyDescent="0.35">
      <c r="A538" s="10"/>
      <c r="B538" s="10"/>
      <c r="C538" s="10"/>
      <c r="D538" s="10"/>
      <c r="E538" s="11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spans="1:32" ht="15.75" customHeight="1" x14ac:dyDescent="0.35">
      <c r="A539" s="10"/>
      <c r="B539" s="10"/>
      <c r="C539" s="10"/>
      <c r="D539" s="10"/>
      <c r="E539" s="11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spans="1:32" ht="15.75" customHeight="1" x14ac:dyDescent="0.35">
      <c r="A540" s="10"/>
      <c r="B540" s="10"/>
      <c r="C540" s="10"/>
      <c r="D540" s="10"/>
      <c r="E540" s="11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spans="1:32" ht="15.75" customHeight="1" x14ac:dyDescent="0.35">
      <c r="A541" s="10"/>
      <c r="B541" s="10"/>
      <c r="C541" s="10"/>
      <c r="D541" s="10"/>
      <c r="E541" s="11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spans="1:32" ht="15.75" customHeight="1" x14ac:dyDescent="0.35">
      <c r="A542" s="10"/>
      <c r="B542" s="10"/>
      <c r="C542" s="10"/>
      <c r="D542" s="10"/>
      <c r="E542" s="11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spans="1:32" ht="15.75" customHeight="1" x14ac:dyDescent="0.35">
      <c r="A543" s="10"/>
      <c r="B543" s="10"/>
      <c r="C543" s="10"/>
      <c r="D543" s="10"/>
      <c r="E543" s="11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spans="1:32" ht="15.75" customHeight="1" x14ac:dyDescent="0.35">
      <c r="A544" s="10"/>
      <c r="B544" s="10"/>
      <c r="C544" s="10"/>
      <c r="D544" s="10"/>
      <c r="E544" s="11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spans="1:32" ht="15.75" customHeight="1" x14ac:dyDescent="0.35">
      <c r="A545" s="10"/>
      <c r="B545" s="10"/>
      <c r="C545" s="10"/>
      <c r="D545" s="10"/>
      <c r="E545" s="11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spans="1:32" ht="15.75" customHeight="1" x14ac:dyDescent="0.35">
      <c r="A546" s="10"/>
      <c r="B546" s="10"/>
      <c r="C546" s="10"/>
      <c r="D546" s="10"/>
      <c r="E546" s="11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spans="1:32" ht="15.75" customHeight="1" x14ac:dyDescent="0.35">
      <c r="A547" s="10"/>
      <c r="B547" s="10"/>
      <c r="C547" s="10"/>
      <c r="D547" s="10"/>
      <c r="E547" s="11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spans="1:32" ht="15.75" customHeight="1" x14ac:dyDescent="0.35">
      <c r="A548" s="10"/>
      <c r="B548" s="10"/>
      <c r="C548" s="10"/>
      <c r="D548" s="10"/>
      <c r="E548" s="11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spans="1:32" ht="15.75" customHeight="1" x14ac:dyDescent="0.35">
      <c r="A549" s="10"/>
      <c r="B549" s="10"/>
      <c r="C549" s="10"/>
      <c r="D549" s="10"/>
      <c r="E549" s="11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spans="1:32" ht="15.75" customHeight="1" x14ac:dyDescent="0.35">
      <c r="A550" s="10"/>
      <c r="B550" s="10"/>
      <c r="C550" s="10"/>
      <c r="D550" s="10"/>
      <c r="E550" s="11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spans="1:32" ht="15.75" customHeight="1" x14ac:dyDescent="0.35">
      <c r="A551" s="10"/>
      <c r="B551" s="10"/>
      <c r="C551" s="10"/>
      <c r="D551" s="10"/>
      <c r="E551" s="11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spans="1:32" ht="15.75" customHeight="1" x14ac:dyDescent="0.35">
      <c r="A552" s="10"/>
      <c r="B552" s="10"/>
      <c r="C552" s="10"/>
      <c r="D552" s="10"/>
      <c r="E552" s="11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spans="1:32" ht="15.75" customHeight="1" x14ac:dyDescent="0.35">
      <c r="A553" s="10"/>
      <c r="B553" s="10"/>
      <c r="C553" s="10"/>
      <c r="D553" s="10"/>
      <c r="E553" s="11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spans="1:32" ht="15.75" customHeight="1" x14ac:dyDescent="0.35">
      <c r="A554" s="10"/>
      <c r="B554" s="10"/>
      <c r="C554" s="10"/>
      <c r="D554" s="10"/>
      <c r="E554" s="11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spans="1:32" ht="15.75" customHeight="1" x14ac:dyDescent="0.35">
      <c r="A555" s="10"/>
      <c r="B555" s="10"/>
      <c r="C555" s="10"/>
      <c r="D555" s="10"/>
      <c r="E555" s="11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spans="1:32" ht="15.75" customHeight="1" x14ac:dyDescent="0.35">
      <c r="A556" s="10"/>
      <c r="B556" s="10"/>
      <c r="C556" s="10"/>
      <c r="D556" s="10"/>
      <c r="E556" s="11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spans="1:32" ht="15.75" customHeight="1" x14ac:dyDescent="0.35">
      <c r="A557" s="10"/>
      <c r="B557" s="10"/>
      <c r="C557" s="10"/>
      <c r="D557" s="10"/>
      <c r="E557" s="11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spans="1:32" ht="15.75" customHeight="1" x14ac:dyDescent="0.35">
      <c r="A558" s="10"/>
      <c r="B558" s="10"/>
      <c r="C558" s="10"/>
      <c r="D558" s="10"/>
      <c r="E558" s="11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spans="1:32" ht="15.75" customHeight="1" x14ac:dyDescent="0.35">
      <c r="A559" s="10"/>
      <c r="B559" s="10"/>
      <c r="C559" s="10"/>
      <c r="D559" s="10"/>
      <c r="E559" s="11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spans="1:32" ht="15.75" customHeight="1" x14ac:dyDescent="0.35">
      <c r="A560" s="10"/>
      <c r="B560" s="10"/>
      <c r="C560" s="10"/>
      <c r="D560" s="10"/>
      <c r="E560" s="11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spans="1:32" ht="15.75" customHeight="1" x14ac:dyDescent="0.35">
      <c r="A561" s="10"/>
      <c r="B561" s="10"/>
      <c r="C561" s="10"/>
      <c r="D561" s="10"/>
      <c r="E561" s="11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spans="1:32" ht="15.75" customHeight="1" x14ac:dyDescent="0.35">
      <c r="A562" s="10"/>
      <c r="B562" s="10"/>
      <c r="C562" s="10"/>
      <c r="D562" s="10"/>
      <c r="E562" s="11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spans="1:32" ht="15.75" customHeight="1" x14ac:dyDescent="0.35">
      <c r="A563" s="10"/>
      <c r="B563" s="10"/>
      <c r="C563" s="10"/>
      <c r="D563" s="10"/>
      <c r="E563" s="11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spans="1:32" ht="15.75" customHeight="1" x14ac:dyDescent="0.35">
      <c r="A564" s="10"/>
      <c r="B564" s="10"/>
      <c r="C564" s="10"/>
      <c r="D564" s="10"/>
      <c r="E564" s="11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spans="1:32" ht="15.75" customHeight="1" x14ac:dyDescent="0.35">
      <c r="A565" s="10"/>
      <c r="B565" s="10"/>
      <c r="C565" s="10"/>
      <c r="D565" s="10"/>
      <c r="E565" s="11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spans="1:32" ht="15.75" customHeight="1" x14ac:dyDescent="0.35">
      <c r="A566" s="10"/>
      <c r="B566" s="10"/>
      <c r="C566" s="10"/>
      <c r="D566" s="10"/>
      <c r="E566" s="11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spans="1:32" ht="15.75" customHeight="1" x14ac:dyDescent="0.35">
      <c r="A567" s="10"/>
      <c r="B567" s="10"/>
      <c r="C567" s="10"/>
      <c r="D567" s="10"/>
      <c r="E567" s="11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spans="1:32" ht="15.75" customHeight="1" x14ac:dyDescent="0.35">
      <c r="A568" s="10"/>
      <c r="B568" s="10"/>
      <c r="C568" s="10"/>
      <c r="D568" s="10"/>
      <c r="E568" s="11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spans="1:32" ht="15.75" customHeight="1" x14ac:dyDescent="0.35">
      <c r="A569" s="10"/>
      <c r="B569" s="10"/>
      <c r="C569" s="10"/>
      <c r="D569" s="10"/>
      <c r="E569" s="11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spans="1:32" ht="15.75" customHeight="1" x14ac:dyDescent="0.35">
      <c r="A570" s="10"/>
      <c r="B570" s="10"/>
      <c r="C570" s="10"/>
      <c r="D570" s="10"/>
      <c r="E570" s="11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spans="1:32" ht="15.75" customHeight="1" x14ac:dyDescent="0.35">
      <c r="A571" s="10"/>
      <c r="B571" s="10"/>
      <c r="C571" s="10"/>
      <c r="D571" s="10"/>
      <c r="E571" s="11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spans="1:32" ht="15.75" customHeight="1" x14ac:dyDescent="0.35">
      <c r="A572" s="10"/>
      <c r="B572" s="10"/>
      <c r="C572" s="10"/>
      <c r="D572" s="10"/>
      <c r="E572" s="11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spans="1:32" ht="15.75" customHeight="1" x14ac:dyDescent="0.35">
      <c r="A573" s="10"/>
      <c r="B573" s="10"/>
      <c r="C573" s="10"/>
      <c r="D573" s="10"/>
      <c r="E573" s="11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spans="1:32" ht="15.75" customHeight="1" x14ac:dyDescent="0.35">
      <c r="A574" s="10"/>
      <c r="B574" s="10"/>
      <c r="C574" s="10"/>
      <c r="D574" s="10"/>
      <c r="E574" s="11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spans="1:32" ht="15.75" customHeight="1" x14ac:dyDescent="0.35">
      <c r="A575" s="10"/>
      <c r="B575" s="10"/>
      <c r="C575" s="10"/>
      <c r="D575" s="10"/>
      <c r="E575" s="11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spans="1:32" ht="15.75" customHeight="1" x14ac:dyDescent="0.35">
      <c r="A576" s="10"/>
      <c r="B576" s="10"/>
      <c r="C576" s="10"/>
      <c r="D576" s="10"/>
      <c r="E576" s="11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spans="1:32" ht="15.75" customHeight="1" x14ac:dyDescent="0.35">
      <c r="A577" s="10"/>
      <c r="B577" s="10"/>
      <c r="C577" s="10"/>
      <c r="D577" s="10"/>
      <c r="E577" s="11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spans="1:32" ht="15.75" customHeight="1" x14ac:dyDescent="0.35">
      <c r="A578" s="10"/>
      <c r="B578" s="10"/>
      <c r="C578" s="10"/>
      <c r="D578" s="10"/>
      <c r="E578" s="11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spans="1:32" ht="15.75" customHeight="1" x14ac:dyDescent="0.35">
      <c r="A579" s="10"/>
      <c r="B579" s="10"/>
      <c r="C579" s="10"/>
      <c r="D579" s="10"/>
      <c r="E579" s="11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spans="1:32" ht="15.75" customHeight="1" x14ac:dyDescent="0.35">
      <c r="A580" s="10"/>
      <c r="B580" s="10"/>
      <c r="C580" s="10"/>
      <c r="D580" s="10"/>
      <c r="E580" s="11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spans="1:32" ht="15.75" customHeight="1" x14ac:dyDescent="0.35">
      <c r="A581" s="10"/>
      <c r="B581" s="10"/>
      <c r="C581" s="10"/>
      <c r="D581" s="10"/>
      <c r="E581" s="11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spans="1:32" ht="15.75" customHeight="1" x14ac:dyDescent="0.35">
      <c r="A582" s="10"/>
      <c r="B582" s="10"/>
      <c r="C582" s="10"/>
      <c r="D582" s="10"/>
      <c r="E582" s="11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spans="1:32" ht="15.75" customHeight="1" x14ac:dyDescent="0.35">
      <c r="A583" s="10"/>
      <c r="B583" s="10"/>
      <c r="C583" s="10"/>
      <c r="D583" s="10"/>
      <c r="E583" s="11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spans="1:32" ht="15.75" customHeight="1" x14ac:dyDescent="0.35">
      <c r="A584" s="10"/>
      <c r="B584" s="10"/>
      <c r="C584" s="10"/>
      <c r="D584" s="10"/>
      <c r="E584" s="11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spans="1:32" ht="15.75" customHeight="1" x14ac:dyDescent="0.35">
      <c r="A585" s="10"/>
      <c r="B585" s="10"/>
      <c r="C585" s="10"/>
      <c r="D585" s="10"/>
      <c r="E585" s="11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spans="1:32" ht="15.75" customHeight="1" x14ac:dyDescent="0.35">
      <c r="A586" s="10"/>
      <c r="B586" s="10"/>
      <c r="C586" s="10"/>
      <c r="D586" s="10"/>
      <c r="E586" s="11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spans="1:32" ht="15.75" customHeight="1" x14ac:dyDescent="0.35">
      <c r="A587" s="10"/>
      <c r="B587" s="10"/>
      <c r="C587" s="10"/>
      <c r="D587" s="10"/>
      <c r="E587" s="11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spans="1:32" ht="15.75" customHeight="1" x14ac:dyDescent="0.35">
      <c r="A588" s="10"/>
      <c r="B588" s="10"/>
      <c r="C588" s="10"/>
      <c r="D588" s="10"/>
      <c r="E588" s="11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spans="1:32" ht="15.75" customHeight="1" x14ac:dyDescent="0.35">
      <c r="A589" s="10"/>
      <c r="B589" s="10"/>
      <c r="C589" s="10"/>
      <c r="D589" s="10"/>
      <c r="E589" s="11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spans="1:32" ht="15.75" customHeight="1" x14ac:dyDescent="0.35">
      <c r="A590" s="10"/>
      <c r="B590" s="10"/>
      <c r="C590" s="10"/>
      <c r="D590" s="10"/>
      <c r="E590" s="11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spans="1:32" ht="15.75" customHeight="1" x14ac:dyDescent="0.35">
      <c r="A591" s="10"/>
      <c r="B591" s="10"/>
      <c r="C591" s="10"/>
      <c r="D591" s="10"/>
      <c r="E591" s="11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spans="1:32" ht="15.75" customHeight="1" x14ac:dyDescent="0.35">
      <c r="A592" s="10"/>
      <c r="B592" s="10"/>
      <c r="C592" s="10"/>
      <c r="D592" s="10"/>
      <c r="E592" s="11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spans="1:32" ht="15.75" customHeight="1" x14ac:dyDescent="0.35">
      <c r="A593" s="10"/>
      <c r="B593" s="10"/>
      <c r="C593" s="10"/>
      <c r="D593" s="10"/>
      <c r="E593" s="11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spans="1:32" ht="15.75" customHeight="1" x14ac:dyDescent="0.35">
      <c r="A594" s="10"/>
      <c r="B594" s="10"/>
      <c r="C594" s="10"/>
      <c r="D594" s="10"/>
      <c r="E594" s="11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spans="1:32" ht="15.75" customHeight="1" x14ac:dyDescent="0.35">
      <c r="A595" s="10"/>
      <c r="B595" s="10"/>
      <c r="C595" s="10"/>
      <c r="D595" s="10"/>
      <c r="E595" s="11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spans="1:32" ht="15.75" customHeight="1" x14ac:dyDescent="0.35">
      <c r="A596" s="10"/>
      <c r="B596" s="10"/>
      <c r="C596" s="10"/>
      <c r="D596" s="10"/>
      <c r="E596" s="11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spans="1:32" ht="15.75" customHeight="1" x14ac:dyDescent="0.35">
      <c r="A597" s="10"/>
      <c r="B597" s="10"/>
      <c r="C597" s="10"/>
      <c r="D597" s="10"/>
      <c r="E597" s="11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spans="1:32" ht="15.75" customHeight="1" x14ac:dyDescent="0.35">
      <c r="A598" s="10"/>
      <c r="B598" s="10"/>
      <c r="C598" s="10"/>
      <c r="D598" s="10"/>
      <c r="E598" s="11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spans="1:32" ht="15.75" customHeight="1" x14ac:dyDescent="0.35">
      <c r="A599" s="10"/>
      <c r="B599" s="10"/>
      <c r="C599" s="10"/>
      <c r="D599" s="10"/>
      <c r="E599" s="11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spans="1:32" ht="15.75" customHeight="1" x14ac:dyDescent="0.35">
      <c r="A600" s="10"/>
      <c r="B600" s="10"/>
      <c r="C600" s="10"/>
      <c r="D600" s="10"/>
      <c r="E600" s="11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spans="1:32" ht="15.75" customHeight="1" x14ac:dyDescent="0.35">
      <c r="A601" s="10"/>
      <c r="B601" s="10"/>
      <c r="C601" s="10"/>
      <c r="D601" s="10"/>
      <c r="E601" s="11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spans="1:32" ht="15.75" customHeight="1" x14ac:dyDescent="0.35">
      <c r="A602" s="10"/>
      <c r="B602" s="10"/>
      <c r="C602" s="10"/>
      <c r="D602" s="10"/>
      <c r="E602" s="11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spans="1:32" ht="15.75" customHeight="1" x14ac:dyDescent="0.35">
      <c r="A603" s="10"/>
      <c r="B603" s="10"/>
      <c r="C603" s="10"/>
      <c r="D603" s="10"/>
      <c r="E603" s="11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spans="1:32" ht="15.75" customHeight="1" x14ac:dyDescent="0.35">
      <c r="A604" s="10"/>
      <c r="B604" s="10"/>
      <c r="C604" s="10"/>
      <c r="D604" s="10"/>
      <c r="E604" s="11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spans="1:32" ht="15.75" customHeight="1" x14ac:dyDescent="0.35">
      <c r="A605" s="10"/>
      <c r="B605" s="10"/>
      <c r="C605" s="10"/>
      <c r="D605" s="10"/>
      <c r="E605" s="11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spans="1:32" ht="15.75" customHeight="1" x14ac:dyDescent="0.35">
      <c r="A606" s="10"/>
      <c r="B606" s="10"/>
      <c r="C606" s="10"/>
      <c r="D606" s="10"/>
      <c r="E606" s="11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spans="1:32" ht="15.75" customHeight="1" x14ac:dyDescent="0.35">
      <c r="A607" s="10"/>
      <c r="B607" s="10"/>
      <c r="C607" s="10"/>
      <c r="D607" s="10"/>
      <c r="E607" s="11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spans="1:32" ht="15.75" customHeight="1" x14ac:dyDescent="0.35">
      <c r="A608" s="10"/>
      <c r="B608" s="10"/>
      <c r="C608" s="10"/>
      <c r="D608" s="10"/>
      <c r="E608" s="11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spans="1:32" ht="15.75" customHeight="1" x14ac:dyDescent="0.35">
      <c r="A609" s="10"/>
      <c r="B609" s="10"/>
      <c r="C609" s="10"/>
      <c r="D609" s="10"/>
      <c r="E609" s="11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spans="1:32" ht="15.75" customHeight="1" x14ac:dyDescent="0.35">
      <c r="A610" s="10"/>
      <c r="B610" s="10"/>
      <c r="C610" s="10"/>
      <c r="D610" s="10"/>
      <c r="E610" s="11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spans="1:32" ht="15.75" customHeight="1" x14ac:dyDescent="0.35">
      <c r="A611" s="10"/>
      <c r="B611" s="10"/>
      <c r="C611" s="10"/>
      <c r="D611" s="10"/>
      <c r="E611" s="11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spans="1:32" ht="15.75" customHeight="1" x14ac:dyDescent="0.35">
      <c r="A612" s="10"/>
      <c r="B612" s="10"/>
      <c r="C612" s="10"/>
      <c r="D612" s="10"/>
      <c r="E612" s="11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spans="1:32" ht="15.75" customHeight="1" x14ac:dyDescent="0.35">
      <c r="A613" s="10"/>
      <c r="B613" s="10"/>
      <c r="C613" s="10"/>
      <c r="D613" s="10"/>
      <c r="E613" s="11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spans="1:32" ht="15.75" customHeight="1" x14ac:dyDescent="0.35">
      <c r="A614" s="10"/>
      <c r="B614" s="10"/>
      <c r="C614" s="10"/>
      <c r="D614" s="10"/>
      <c r="E614" s="11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spans="1:32" ht="15.75" customHeight="1" x14ac:dyDescent="0.35">
      <c r="A615" s="10"/>
      <c r="B615" s="10"/>
      <c r="C615" s="10"/>
      <c r="D615" s="10"/>
      <c r="E615" s="11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spans="1:32" ht="15.75" customHeight="1" x14ac:dyDescent="0.35">
      <c r="A616" s="10"/>
      <c r="B616" s="10"/>
      <c r="C616" s="10"/>
      <c r="D616" s="10"/>
      <c r="E616" s="11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spans="1:32" ht="15.75" customHeight="1" x14ac:dyDescent="0.35">
      <c r="A617" s="10"/>
      <c r="B617" s="10"/>
      <c r="C617" s="10"/>
      <c r="D617" s="10"/>
      <c r="E617" s="11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spans="1:32" ht="15.75" customHeight="1" x14ac:dyDescent="0.35">
      <c r="A618" s="10"/>
      <c r="B618" s="10"/>
      <c r="C618" s="10"/>
      <c r="D618" s="10"/>
      <c r="E618" s="11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spans="1:32" ht="15.75" customHeight="1" x14ac:dyDescent="0.35">
      <c r="A619" s="10"/>
      <c r="B619" s="10"/>
      <c r="C619" s="10"/>
      <c r="D619" s="10"/>
      <c r="E619" s="11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spans="1:32" ht="15.75" customHeight="1" x14ac:dyDescent="0.35">
      <c r="A620" s="10"/>
      <c r="B620" s="10"/>
      <c r="C620" s="10"/>
      <c r="D620" s="10"/>
      <c r="E620" s="11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spans="1:32" ht="15.75" customHeight="1" x14ac:dyDescent="0.35">
      <c r="A621" s="10"/>
      <c r="B621" s="10"/>
      <c r="C621" s="10"/>
      <c r="D621" s="10"/>
      <c r="E621" s="11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spans="1:32" ht="15.75" customHeight="1" x14ac:dyDescent="0.35">
      <c r="A622" s="10"/>
      <c r="B622" s="10"/>
      <c r="C622" s="10"/>
      <c r="D622" s="10"/>
      <c r="E622" s="11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spans="1:32" ht="15.75" customHeight="1" x14ac:dyDescent="0.35">
      <c r="A623" s="10"/>
      <c r="B623" s="10"/>
      <c r="C623" s="10"/>
      <c r="D623" s="10"/>
      <c r="E623" s="11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spans="1:32" ht="15.75" customHeight="1" x14ac:dyDescent="0.35">
      <c r="A624" s="10"/>
      <c r="B624" s="10"/>
      <c r="C624" s="10"/>
      <c r="D624" s="10"/>
      <c r="E624" s="11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spans="1:32" ht="15.75" customHeight="1" x14ac:dyDescent="0.35">
      <c r="A625" s="10"/>
      <c r="B625" s="10"/>
      <c r="C625" s="10"/>
      <c r="D625" s="10"/>
      <c r="E625" s="11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spans="1:32" ht="15.75" customHeight="1" x14ac:dyDescent="0.35">
      <c r="A626" s="10"/>
      <c r="B626" s="10"/>
      <c r="C626" s="10"/>
      <c r="D626" s="10"/>
      <c r="E626" s="11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spans="1:32" ht="15.75" customHeight="1" x14ac:dyDescent="0.35">
      <c r="A627" s="10"/>
      <c r="B627" s="10"/>
      <c r="C627" s="10"/>
      <c r="D627" s="10"/>
      <c r="E627" s="11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spans="1:32" ht="15.75" customHeight="1" x14ac:dyDescent="0.35">
      <c r="A628" s="10"/>
      <c r="B628" s="10"/>
      <c r="C628" s="10"/>
      <c r="D628" s="10"/>
      <c r="E628" s="11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spans="1:32" ht="15.75" customHeight="1" x14ac:dyDescent="0.35">
      <c r="A629" s="10"/>
      <c r="B629" s="10"/>
      <c r="C629" s="10"/>
      <c r="D629" s="10"/>
      <c r="E629" s="11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spans="1:32" ht="15.75" customHeight="1" x14ac:dyDescent="0.35">
      <c r="A630" s="10"/>
      <c r="B630" s="10"/>
      <c r="C630" s="10"/>
      <c r="D630" s="10"/>
      <c r="E630" s="11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spans="1:32" ht="15.75" customHeight="1" x14ac:dyDescent="0.35">
      <c r="A631" s="10"/>
      <c r="B631" s="10"/>
      <c r="C631" s="10"/>
      <c r="D631" s="10"/>
      <c r="E631" s="11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spans="1:32" ht="15.75" customHeight="1" x14ac:dyDescent="0.35">
      <c r="A632" s="10"/>
      <c r="B632" s="10"/>
      <c r="C632" s="10"/>
      <c r="D632" s="10"/>
      <c r="E632" s="11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spans="1:32" ht="15.75" customHeight="1" x14ac:dyDescent="0.35">
      <c r="A633" s="10"/>
      <c r="B633" s="10"/>
      <c r="C633" s="10"/>
      <c r="D633" s="10"/>
      <c r="E633" s="11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spans="1:32" ht="15.75" customHeight="1" x14ac:dyDescent="0.35">
      <c r="A634" s="10"/>
      <c r="B634" s="10"/>
      <c r="C634" s="10"/>
      <c r="D634" s="10"/>
      <c r="E634" s="11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spans="1:32" ht="15.75" customHeight="1" x14ac:dyDescent="0.35">
      <c r="A635" s="10"/>
      <c r="B635" s="10"/>
      <c r="C635" s="10"/>
      <c r="D635" s="10"/>
      <c r="E635" s="11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spans="1:32" ht="15.75" customHeight="1" x14ac:dyDescent="0.35">
      <c r="A636" s="10"/>
      <c r="B636" s="10"/>
      <c r="C636" s="10"/>
      <c r="D636" s="10"/>
      <c r="E636" s="11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spans="1:32" ht="15.75" customHeight="1" x14ac:dyDescent="0.35">
      <c r="A637" s="10"/>
      <c r="B637" s="10"/>
      <c r="C637" s="10"/>
      <c r="D637" s="10"/>
      <c r="E637" s="11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spans="1:32" ht="15.75" customHeight="1" x14ac:dyDescent="0.35">
      <c r="A638" s="10"/>
      <c r="B638" s="10"/>
      <c r="C638" s="10"/>
      <c r="D638" s="10"/>
      <c r="E638" s="11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spans="1:32" ht="15.75" customHeight="1" x14ac:dyDescent="0.35">
      <c r="A639" s="10"/>
      <c r="B639" s="10"/>
      <c r="C639" s="10"/>
      <c r="D639" s="10"/>
      <c r="E639" s="11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spans="1:32" ht="15.75" customHeight="1" x14ac:dyDescent="0.35">
      <c r="A640" s="10"/>
      <c r="B640" s="10"/>
      <c r="C640" s="10"/>
      <c r="D640" s="10"/>
      <c r="E640" s="11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spans="1:32" ht="15.75" customHeight="1" x14ac:dyDescent="0.35">
      <c r="A641" s="10"/>
      <c r="B641" s="10"/>
      <c r="C641" s="10"/>
      <c r="D641" s="10"/>
      <c r="E641" s="11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spans="1:32" ht="15.75" customHeight="1" x14ac:dyDescent="0.35">
      <c r="A642" s="10"/>
      <c r="B642" s="10"/>
      <c r="C642" s="10"/>
      <c r="D642" s="10"/>
      <c r="E642" s="11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spans="1:32" ht="15.75" customHeight="1" x14ac:dyDescent="0.35">
      <c r="A643" s="10"/>
      <c r="B643" s="10"/>
      <c r="C643" s="10"/>
      <c r="D643" s="10"/>
      <c r="E643" s="11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spans="1:32" ht="15.75" customHeight="1" x14ac:dyDescent="0.35">
      <c r="A644" s="10"/>
      <c r="B644" s="10"/>
      <c r="C644" s="10"/>
      <c r="D644" s="10"/>
      <c r="E644" s="11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spans="1:32" ht="15.75" customHeight="1" x14ac:dyDescent="0.35">
      <c r="A645" s="10"/>
      <c r="B645" s="10"/>
      <c r="C645" s="10"/>
      <c r="D645" s="10"/>
      <c r="E645" s="11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spans="1:32" ht="15.75" customHeight="1" x14ac:dyDescent="0.35">
      <c r="A646" s="10"/>
      <c r="B646" s="10"/>
      <c r="C646" s="10"/>
      <c r="D646" s="10"/>
      <c r="E646" s="11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spans="1:32" ht="15.75" customHeight="1" x14ac:dyDescent="0.35">
      <c r="A647" s="10"/>
      <c r="B647" s="10"/>
      <c r="C647" s="10"/>
      <c r="D647" s="10"/>
      <c r="E647" s="11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spans="1:32" ht="15.75" customHeight="1" x14ac:dyDescent="0.35">
      <c r="A648" s="10"/>
      <c r="B648" s="10"/>
      <c r="C648" s="10"/>
      <c r="D648" s="10"/>
      <c r="E648" s="11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spans="1:32" ht="15.75" customHeight="1" x14ac:dyDescent="0.35">
      <c r="A649" s="10"/>
      <c r="B649" s="10"/>
      <c r="C649" s="10"/>
      <c r="D649" s="10"/>
      <c r="E649" s="11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spans="1:32" ht="15.75" customHeight="1" x14ac:dyDescent="0.35">
      <c r="A650" s="10"/>
      <c r="B650" s="10"/>
      <c r="C650" s="10"/>
      <c r="D650" s="10"/>
      <c r="E650" s="11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spans="1:32" ht="15.75" customHeight="1" x14ac:dyDescent="0.35">
      <c r="A651" s="10"/>
      <c r="B651" s="10"/>
      <c r="C651" s="10"/>
      <c r="D651" s="10"/>
      <c r="E651" s="11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spans="1:32" ht="15.75" customHeight="1" x14ac:dyDescent="0.35">
      <c r="A652" s="10"/>
      <c r="B652" s="10"/>
      <c r="C652" s="10"/>
      <c r="D652" s="10"/>
      <c r="E652" s="11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spans="1:32" ht="15.75" customHeight="1" x14ac:dyDescent="0.35">
      <c r="A653" s="10"/>
      <c r="B653" s="10"/>
      <c r="C653" s="10"/>
      <c r="D653" s="10"/>
      <c r="E653" s="11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spans="1:32" ht="15.75" customHeight="1" x14ac:dyDescent="0.35">
      <c r="A654" s="10"/>
      <c r="B654" s="10"/>
      <c r="C654" s="10"/>
      <c r="D654" s="10"/>
      <c r="E654" s="11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spans="1:32" ht="15.75" customHeight="1" x14ac:dyDescent="0.35">
      <c r="A655" s="10"/>
      <c r="B655" s="10"/>
      <c r="C655" s="10"/>
      <c r="D655" s="10"/>
      <c r="E655" s="11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spans="1:32" ht="15.75" customHeight="1" x14ac:dyDescent="0.35">
      <c r="A656" s="10"/>
      <c r="B656" s="10"/>
      <c r="C656" s="10"/>
      <c r="D656" s="10"/>
      <c r="E656" s="11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spans="1:32" ht="15.75" customHeight="1" x14ac:dyDescent="0.35">
      <c r="A657" s="10"/>
      <c r="B657" s="10"/>
      <c r="C657" s="10"/>
      <c r="D657" s="10"/>
      <c r="E657" s="11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spans="1:32" ht="15.75" customHeight="1" x14ac:dyDescent="0.35">
      <c r="A658" s="10"/>
      <c r="B658" s="10"/>
      <c r="C658" s="10"/>
      <c r="D658" s="10"/>
      <c r="E658" s="11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spans="1:32" ht="15.75" customHeight="1" x14ac:dyDescent="0.35">
      <c r="A659" s="10"/>
      <c r="B659" s="10"/>
      <c r="C659" s="10"/>
      <c r="D659" s="10"/>
      <c r="E659" s="11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spans="1:32" ht="15.75" customHeight="1" x14ac:dyDescent="0.35">
      <c r="A660" s="10"/>
      <c r="B660" s="10"/>
      <c r="C660" s="10"/>
      <c r="D660" s="10"/>
      <c r="E660" s="11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spans="1:32" ht="15.75" customHeight="1" x14ac:dyDescent="0.35">
      <c r="A661" s="10"/>
      <c r="B661" s="10"/>
      <c r="C661" s="10"/>
      <c r="D661" s="10"/>
      <c r="E661" s="11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spans="1:32" ht="15.75" customHeight="1" x14ac:dyDescent="0.35">
      <c r="A662" s="10"/>
      <c r="B662" s="10"/>
      <c r="C662" s="10"/>
      <c r="D662" s="10"/>
      <c r="E662" s="11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spans="1:32" ht="15.75" customHeight="1" x14ac:dyDescent="0.35">
      <c r="A663" s="10"/>
      <c r="B663" s="10"/>
      <c r="C663" s="10"/>
      <c r="D663" s="10"/>
      <c r="E663" s="11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spans="1:32" ht="15.75" customHeight="1" x14ac:dyDescent="0.35">
      <c r="A664" s="10"/>
      <c r="B664" s="10"/>
      <c r="C664" s="10"/>
      <c r="D664" s="10"/>
      <c r="E664" s="11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spans="1:32" ht="15.75" customHeight="1" x14ac:dyDescent="0.35">
      <c r="A665" s="10"/>
      <c r="B665" s="10"/>
      <c r="C665" s="10"/>
      <c r="D665" s="10"/>
      <c r="E665" s="11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spans="1:32" ht="15.75" customHeight="1" x14ac:dyDescent="0.35">
      <c r="A666" s="10"/>
      <c r="B666" s="10"/>
      <c r="C666" s="10"/>
      <c r="D666" s="10"/>
      <c r="E666" s="11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spans="1:32" ht="15.75" customHeight="1" x14ac:dyDescent="0.35">
      <c r="A667" s="10"/>
      <c r="B667" s="10"/>
      <c r="C667" s="10"/>
      <c r="D667" s="10"/>
      <c r="E667" s="11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spans="1:32" ht="15.75" customHeight="1" x14ac:dyDescent="0.35">
      <c r="A668" s="10"/>
      <c r="B668" s="10"/>
      <c r="C668" s="10"/>
      <c r="D668" s="10"/>
      <c r="E668" s="11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spans="1:32" ht="15.75" customHeight="1" x14ac:dyDescent="0.35">
      <c r="A669" s="10"/>
      <c r="B669" s="10"/>
      <c r="C669" s="10"/>
      <c r="D669" s="10"/>
      <c r="E669" s="11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spans="1:32" ht="15.75" customHeight="1" x14ac:dyDescent="0.35">
      <c r="A670" s="10"/>
      <c r="B670" s="10"/>
      <c r="C670" s="10"/>
      <c r="D670" s="10"/>
      <c r="E670" s="11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spans="1:32" ht="15.75" customHeight="1" x14ac:dyDescent="0.35">
      <c r="A671" s="10"/>
      <c r="B671" s="10"/>
      <c r="C671" s="10"/>
      <c r="D671" s="10"/>
      <c r="E671" s="11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spans="1:32" ht="15.75" customHeight="1" x14ac:dyDescent="0.35">
      <c r="A672" s="10"/>
      <c r="B672" s="10"/>
      <c r="C672" s="10"/>
      <c r="D672" s="10"/>
      <c r="E672" s="11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spans="1:32" ht="15.75" customHeight="1" x14ac:dyDescent="0.35">
      <c r="A673" s="10"/>
      <c r="B673" s="10"/>
      <c r="C673" s="10"/>
      <c r="D673" s="10"/>
      <c r="E673" s="11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spans="1:32" ht="15.75" customHeight="1" x14ac:dyDescent="0.35">
      <c r="A674" s="10"/>
      <c r="B674" s="10"/>
      <c r="C674" s="10"/>
      <c r="D674" s="10"/>
      <c r="E674" s="11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spans="1:32" ht="15.75" customHeight="1" x14ac:dyDescent="0.35">
      <c r="A675" s="10"/>
      <c r="B675" s="10"/>
      <c r="C675" s="10"/>
      <c r="D675" s="10"/>
      <c r="E675" s="11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spans="1:32" ht="15.75" customHeight="1" x14ac:dyDescent="0.35">
      <c r="A676" s="10"/>
      <c r="B676" s="10"/>
      <c r="C676" s="10"/>
      <c r="D676" s="10"/>
      <c r="E676" s="11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spans="1:32" ht="15.75" customHeight="1" x14ac:dyDescent="0.35">
      <c r="A677" s="10"/>
      <c r="B677" s="10"/>
      <c r="C677" s="10"/>
      <c r="D677" s="10"/>
      <c r="E677" s="11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spans="1:32" ht="15.75" customHeight="1" x14ac:dyDescent="0.35">
      <c r="A678" s="10"/>
      <c r="B678" s="10"/>
      <c r="C678" s="10"/>
      <c r="D678" s="10"/>
      <c r="E678" s="11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spans="1:32" ht="15.75" customHeight="1" x14ac:dyDescent="0.35">
      <c r="A679" s="10"/>
      <c r="B679" s="10"/>
      <c r="C679" s="10"/>
      <c r="D679" s="10"/>
      <c r="E679" s="11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spans="1:32" ht="15.75" customHeight="1" x14ac:dyDescent="0.35">
      <c r="A680" s="10"/>
      <c r="B680" s="10"/>
      <c r="C680" s="10"/>
      <c r="D680" s="10"/>
      <c r="E680" s="11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spans="1:32" ht="15.75" customHeight="1" x14ac:dyDescent="0.35">
      <c r="A681" s="10"/>
      <c r="B681" s="10"/>
      <c r="C681" s="10"/>
      <c r="D681" s="10"/>
      <c r="E681" s="11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spans="1:32" ht="15.75" customHeight="1" x14ac:dyDescent="0.35">
      <c r="A682" s="10"/>
      <c r="B682" s="10"/>
      <c r="C682" s="10"/>
      <c r="D682" s="10"/>
      <c r="E682" s="11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spans="1:32" ht="15.75" customHeight="1" x14ac:dyDescent="0.35">
      <c r="A683" s="10"/>
      <c r="B683" s="10"/>
      <c r="C683" s="10"/>
      <c r="D683" s="10"/>
      <c r="E683" s="11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spans="1:32" ht="15.75" customHeight="1" x14ac:dyDescent="0.35">
      <c r="A684" s="10"/>
      <c r="B684" s="10"/>
      <c r="C684" s="10"/>
      <c r="D684" s="10"/>
      <c r="E684" s="11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spans="1:32" ht="15.75" customHeight="1" x14ac:dyDescent="0.35">
      <c r="A685" s="10"/>
      <c r="B685" s="10"/>
      <c r="C685" s="10"/>
      <c r="D685" s="10"/>
      <c r="E685" s="11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spans="1:32" ht="15.75" customHeight="1" x14ac:dyDescent="0.35">
      <c r="A686" s="10"/>
      <c r="B686" s="10"/>
      <c r="C686" s="10"/>
      <c r="D686" s="10"/>
      <c r="E686" s="11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spans="1:32" ht="15.75" customHeight="1" x14ac:dyDescent="0.35">
      <c r="A687" s="10"/>
      <c r="B687" s="10"/>
      <c r="C687" s="10"/>
      <c r="D687" s="10"/>
      <c r="E687" s="11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spans="1:32" ht="15.75" customHeight="1" x14ac:dyDescent="0.35">
      <c r="A688" s="10"/>
      <c r="B688" s="10"/>
      <c r="C688" s="10"/>
      <c r="D688" s="10"/>
      <c r="E688" s="11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spans="1:32" ht="15.75" customHeight="1" x14ac:dyDescent="0.35">
      <c r="A689" s="10"/>
      <c r="B689" s="10"/>
      <c r="C689" s="10"/>
      <c r="D689" s="10"/>
      <c r="E689" s="11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spans="1:32" ht="15.75" customHeight="1" x14ac:dyDescent="0.35">
      <c r="A690" s="10"/>
      <c r="B690" s="10"/>
      <c r="C690" s="10"/>
      <c r="D690" s="10"/>
      <c r="E690" s="11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spans="1:32" ht="15.75" customHeight="1" x14ac:dyDescent="0.35">
      <c r="A691" s="10"/>
      <c r="B691" s="10"/>
      <c r="C691" s="10"/>
      <c r="D691" s="10"/>
      <c r="E691" s="11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spans="1:32" ht="15.75" customHeight="1" x14ac:dyDescent="0.35">
      <c r="A692" s="10"/>
      <c r="B692" s="10"/>
      <c r="C692" s="10"/>
      <c r="D692" s="10"/>
      <c r="E692" s="11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spans="1:32" ht="15.75" customHeight="1" x14ac:dyDescent="0.35">
      <c r="A693" s="10"/>
      <c r="B693" s="10"/>
      <c r="C693" s="10"/>
      <c r="D693" s="10"/>
      <c r="E693" s="11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spans="1:32" ht="15.75" customHeight="1" x14ac:dyDescent="0.35">
      <c r="A694" s="10"/>
      <c r="B694" s="10"/>
      <c r="C694" s="10"/>
      <c r="D694" s="10"/>
      <c r="E694" s="11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spans="1:32" ht="15.75" customHeight="1" x14ac:dyDescent="0.35">
      <c r="A695" s="10"/>
      <c r="B695" s="10"/>
      <c r="C695" s="10"/>
      <c r="D695" s="10"/>
      <c r="E695" s="11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spans="1:32" ht="15.75" customHeight="1" x14ac:dyDescent="0.35">
      <c r="A696" s="10"/>
      <c r="B696" s="10"/>
      <c r="C696" s="10"/>
      <c r="D696" s="10"/>
      <c r="E696" s="11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spans="1:32" ht="15.75" customHeight="1" x14ac:dyDescent="0.35">
      <c r="A697" s="10"/>
      <c r="B697" s="10"/>
      <c r="C697" s="10"/>
      <c r="D697" s="10"/>
      <c r="E697" s="11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spans="1:32" ht="15.75" customHeight="1" x14ac:dyDescent="0.35">
      <c r="A698" s="10"/>
      <c r="B698" s="10"/>
      <c r="C698" s="10"/>
      <c r="D698" s="10"/>
      <c r="E698" s="11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spans="1:32" ht="15.75" customHeight="1" x14ac:dyDescent="0.35">
      <c r="A699" s="10"/>
      <c r="B699" s="10"/>
      <c r="C699" s="10"/>
      <c r="D699" s="10"/>
      <c r="E699" s="11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spans="1:32" ht="15.75" customHeight="1" x14ac:dyDescent="0.35">
      <c r="A700" s="10"/>
      <c r="B700" s="10"/>
      <c r="C700" s="10"/>
      <c r="D700" s="10"/>
      <c r="E700" s="11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spans="1:32" ht="15.75" customHeight="1" x14ac:dyDescent="0.35">
      <c r="A701" s="10"/>
      <c r="B701" s="10"/>
      <c r="C701" s="10"/>
      <c r="D701" s="10"/>
      <c r="E701" s="11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spans="1:32" ht="15.75" customHeight="1" x14ac:dyDescent="0.35">
      <c r="A702" s="10"/>
      <c r="B702" s="10"/>
      <c r="C702" s="10"/>
      <c r="D702" s="10"/>
      <c r="E702" s="11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spans="1:32" ht="15.75" customHeight="1" x14ac:dyDescent="0.35">
      <c r="A703" s="10"/>
      <c r="B703" s="10"/>
      <c r="C703" s="10"/>
      <c r="D703" s="10"/>
      <c r="E703" s="11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spans="1:32" ht="15.75" customHeight="1" x14ac:dyDescent="0.35">
      <c r="A704" s="10"/>
      <c r="B704" s="10"/>
      <c r="C704" s="10"/>
      <c r="D704" s="10"/>
      <c r="E704" s="11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spans="1:32" ht="15.75" customHeight="1" x14ac:dyDescent="0.35">
      <c r="A705" s="10"/>
      <c r="B705" s="10"/>
      <c r="C705" s="10"/>
      <c r="D705" s="10"/>
      <c r="E705" s="11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spans="1:32" ht="15.75" customHeight="1" x14ac:dyDescent="0.35">
      <c r="A706" s="10"/>
      <c r="B706" s="10"/>
      <c r="C706" s="10"/>
      <c r="D706" s="10"/>
      <c r="E706" s="11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spans="1:32" ht="15.75" customHeight="1" x14ac:dyDescent="0.35">
      <c r="A707" s="10"/>
      <c r="B707" s="10"/>
      <c r="C707" s="10"/>
      <c r="D707" s="10"/>
      <c r="E707" s="11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spans="1:32" ht="15.75" customHeight="1" x14ac:dyDescent="0.35">
      <c r="A708" s="10"/>
      <c r="B708" s="10"/>
      <c r="C708" s="10"/>
      <c r="D708" s="10"/>
      <c r="E708" s="11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spans="1:32" ht="15.75" customHeight="1" x14ac:dyDescent="0.35">
      <c r="A709" s="10"/>
      <c r="B709" s="10"/>
      <c r="C709" s="10"/>
      <c r="D709" s="10"/>
      <c r="E709" s="11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spans="1:32" ht="15.75" customHeight="1" x14ac:dyDescent="0.35">
      <c r="A710" s="10"/>
      <c r="B710" s="10"/>
      <c r="C710" s="10"/>
      <c r="D710" s="10"/>
      <c r="E710" s="11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spans="1:32" ht="15.75" customHeight="1" x14ac:dyDescent="0.35">
      <c r="A711" s="10"/>
      <c r="B711" s="10"/>
      <c r="C711" s="10"/>
      <c r="D711" s="10"/>
      <c r="E711" s="11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spans="1:32" ht="15.75" customHeight="1" x14ac:dyDescent="0.35">
      <c r="A712" s="10"/>
      <c r="B712" s="10"/>
      <c r="C712" s="10"/>
      <c r="D712" s="10"/>
      <c r="E712" s="11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spans="1:32" ht="15.75" customHeight="1" x14ac:dyDescent="0.35">
      <c r="A713" s="10"/>
      <c r="B713" s="10"/>
      <c r="C713" s="10"/>
      <c r="D713" s="10"/>
      <c r="E713" s="11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spans="1:32" ht="15.75" customHeight="1" x14ac:dyDescent="0.35">
      <c r="A714" s="10"/>
      <c r="B714" s="10"/>
      <c r="C714" s="10"/>
      <c r="D714" s="10"/>
      <c r="E714" s="11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spans="1:32" ht="15.75" customHeight="1" x14ac:dyDescent="0.35">
      <c r="A715" s="10"/>
      <c r="B715" s="10"/>
      <c r="C715" s="10"/>
      <c r="D715" s="10"/>
      <c r="E715" s="11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spans="1:32" ht="15.75" customHeight="1" x14ac:dyDescent="0.35">
      <c r="A716" s="10"/>
      <c r="B716" s="10"/>
      <c r="C716" s="10"/>
      <c r="D716" s="10"/>
      <c r="E716" s="11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spans="1:32" ht="15.75" customHeight="1" x14ac:dyDescent="0.35">
      <c r="A717" s="10"/>
      <c r="B717" s="10"/>
      <c r="C717" s="10"/>
      <c r="D717" s="10"/>
      <c r="E717" s="11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spans="1:32" ht="15.75" customHeight="1" x14ac:dyDescent="0.35">
      <c r="A718" s="10"/>
      <c r="B718" s="10"/>
      <c r="C718" s="10"/>
      <c r="D718" s="10"/>
      <c r="E718" s="11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spans="1:32" ht="15.75" customHeight="1" x14ac:dyDescent="0.35">
      <c r="A719" s="10"/>
      <c r="B719" s="10"/>
      <c r="C719" s="10"/>
      <c r="D719" s="10"/>
      <c r="E719" s="11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spans="1:32" ht="15.75" customHeight="1" x14ac:dyDescent="0.35">
      <c r="A720" s="10"/>
      <c r="B720" s="10"/>
      <c r="C720" s="10"/>
      <c r="D720" s="10"/>
      <c r="E720" s="11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spans="1:32" ht="15.75" customHeight="1" x14ac:dyDescent="0.35">
      <c r="A721" s="10"/>
      <c r="B721" s="10"/>
      <c r="C721" s="10"/>
      <c r="D721" s="10"/>
      <c r="E721" s="11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spans="1:32" ht="15.75" customHeight="1" x14ac:dyDescent="0.35">
      <c r="A722" s="10"/>
      <c r="B722" s="10"/>
      <c r="C722" s="10"/>
      <c r="D722" s="10"/>
      <c r="E722" s="11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spans="1:32" ht="15.75" customHeight="1" x14ac:dyDescent="0.35">
      <c r="A723" s="10"/>
      <c r="B723" s="10"/>
      <c r="C723" s="10"/>
      <c r="D723" s="10"/>
      <c r="E723" s="11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spans="1:32" ht="15.75" customHeight="1" x14ac:dyDescent="0.35">
      <c r="A724" s="10"/>
      <c r="B724" s="10"/>
      <c r="C724" s="10"/>
      <c r="D724" s="10"/>
      <c r="E724" s="11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spans="1:32" ht="15.75" customHeight="1" x14ac:dyDescent="0.35">
      <c r="A725" s="10"/>
      <c r="B725" s="10"/>
      <c r="C725" s="10"/>
      <c r="D725" s="10"/>
      <c r="E725" s="11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spans="1:32" ht="15.75" customHeight="1" x14ac:dyDescent="0.35">
      <c r="A726" s="10"/>
      <c r="B726" s="10"/>
      <c r="C726" s="10"/>
      <c r="D726" s="10"/>
      <c r="E726" s="11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spans="1:32" ht="15.75" customHeight="1" x14ac:dyDescent="0.35">
      <c r="A727" s="10"/>
      <c r="B727" s="10"/>
      <c r="C727" s="10"/>
      <c r="D727" s="10"/>
      <c r="E727" s="11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spans="1:32" ht="15.75" customHeight="1" x14ac:dyDescent="0.35">
      <c r="A728" s="10"/>
      <c r="B728" s="10"/>
      <c r="C728" s="10"/>
      <c r="D728" s="10"/>
      <c r="E728" s="11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spans="1:32" ht="15.75" customHeight="1" x14ac:dyDescent="0.35">
      <c r="A729" s="10"/>
      <c r="B729" s="10"/>
      <c r="C729" s="10"/>
      <c r="D729" s="10"/>
      <c r="E729" s="11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spans="1:32" ht="15.75" customHeight="1" x14ac:dyDescent="0.35">
      <c r="A730" s="10"/>
      <c r="B730" s="10"/>
      <c r="C730" s="10"/>
      <c r="D730" s="10"/>
      <c r="E730" s="11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spans="1:32" ht="15.75" customHeight="1" x14ac:dyDescent="0.35">
      <c r="A731" s="10"/>
      <c r="B731" s="10"/>
      <c r="C731" s="10"/>
      <c r="D731" s="10"/>
      <c r="E731" s="11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spans="1:32" ht="15.75" customHeight="1" x14ac:dyDescent="0.35">
      <c r="A732" s="10"/>
      <c r="B732" s="10"/>
      <c r="C732" s="10"/>
      <c r="D732" s="10"/>
      <c r="E732" s="11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spans="1:32" ht="15.75" customHeight="1" x14ac:dyDescent="0.35">
      <c r="A733" s="10"/>
      <c r="B733" s="10"/>
      <c r="C733" s="10"/>
      <c r="D733" s="10"/>
      <c r="E733" s="11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spans="1:32" ht="15.75" customHeight="1" x14ac:dyDescent="0.35">
      <c r="A734" s="10"/>
      <c r="B734" s="10"/>
      <c r="C734" s="10"/>
      <c r="D734" s="10"/>
      <c r="E734" s="11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spans="1:32" ht="15.75" customHeight="1" x14ac:dyDescent="0.35">
      <c r="A735" s="10"/>
      <c r="B735" s="10"/>
      <c r="C735" s="10"/>
      <c r="D735" s="10"/>
      <c r="E735" s="11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spans="1:32" ht="15.75" customHeight="1" x14ac:dyDescent="0.35">
      <c r="A736" s="10"/>
      <c r="B736" s="10"/>
      <c r="C736" s="10"/>
      <c r="D736" s="10"/>
      <c r="E736" s="11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spans="1:32" ht="15.75" customHeight="1" x14ac:dyDescent="0.35">
      <c r="A737" s="10"/>
      <c r="B737" s="10"/>
      <c r="C737" s="10"/>
      <c r="D737" s="10"/>
      <c r="E737" s="11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spans="1:32" ht="15.75" customHeight="1" x14ac:dyDescent="0.35">
      <c r="A738" s="10"/>
      <c r="B738" s="10"/>
      <c r="C738" s="10"/>
      <c r="D738" s="10"/>
      <c r="E738" s="11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spans="1:32" ht="15.75" customHeight="1" x14ac:dyDescent="0.35">
      <c r="A739" s="10"/>
      <c r="B739" s="10"/>
      <c r="C739" s="10"/>
      <c r="D739" s="10"/>
      <c r="E739" s="11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spans="1:32" ht="15.75" customHeight="1" x14ac:dyDescent="0.35">
      <c r="A740" s="10"/>
      <c r="B740" s="10"/>
      <c r="C740" s="10"/>
      <c r="D740" s="10"/>
      <c r="E740" s="11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spans="1:32" ht="15.75" customHeight="1" x14ac:dyDescent="0.35">
      <c r="A741" s="10"/>
      <c r="B741" s="10"/>
      <c r="C741" s="10"/>
      <c r="D741" s="10"/>
      <c r="E741" s="11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spans="1:32" ht="15.75" customHeight="1" x14ac:dyDescent="0.35">
      <c r="A742" s="10"/>
      <c r="B742" s="10"/>
      <c r="C742" s="10"/>
      <c r="D742" s="10"/>
      <c r="E742" s="11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spans="1:32" ht="15.75" customHeight="1" x14ac:dyDescent="0.35">
      <c r="A743" s="10"/>
      <c r="B743" s="10"/>
      <c r="C743" s="10"/>
      <c r="D743" s="10"/>
      <c r="E743" s="11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spans="1:32" ht="15.75" customHeight="1" x14ac:dyDescent="0.35">
      <c r="A744" s="10"/>
      <c r="B744" s="10"/>
      <c r="C744" s="10"/>
      <c r="D744" s="10"/>
      <c r="E744" s="11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spans="1:32" ht="15.75" customHeight="1" x14ac:dyDescent="0.35">
      <c r="A745" s="10"/>
      <c r="B745" s="10"/>
      <c r="C745" s="10"/>
      <c r="D745" s="10"/>
      <c r="E745" s="11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spans="1:32" ht="15.75" customHeight="1" x14ac:dyDescent="0.35">
      <c r="A746" s="10"/>
      <c r="B746" s="10"/>
      <c r="C746" s="10"/>
      <c r="D746" s="10"/>
      <c r="E746" s="11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spans="1:32" ht="15.75" customHeight="1" x14ac:dyDescent="0.35">
      <c r="A747" s="10"/>
      <c r="B747" s="10"/>
      <c r="C747" s="10"/>
      <c r="D747" s="10"/>
      <c r="E747" s="11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spans="1:32" ht="15.75" customHeight="1" x14ac:dyDescent="0.35">
      <c r="A748" s="10"/>
      <c r="B748" s="10"/>
      <c r="C748" s="10"/>
      <c r="D748" s="10"/>
      <c r="E748" s="11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spans="1:32" ht="15.75" customHeight="1" x14ac:dyDescent="0.35">
      <c r="A749" s="10"/>
      <c r="B749" s="10"/>
      <c r="C749" s="10"/>
      <c r="D749" s="10"/>
      <c r="E749" s="11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spans="1:32" ht="15.75" customHeight="1" x14ac:dyDescent="0.35">
      <c r="A750" s="10"/>
      <c r="B750" s="10"/>
      <c r="C750" s="10"/>
      <c r="D750" s="10"/>
      <c r="E750" s="11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spans="1:32" ht="15.75" customHeight="1" x14ac:dyDescent="0.35">
      <c r="A751" s="10"/>
      <c r="B751" s="10"/>
      <c r="C751" s="10"/>
      <c r="D751" s="10"/>
      <c r="E751" s="11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spans="1:32" ht="15.75" customHeight="1" x14ac:dyDescent="0.35">
      <c r="A752" s="10"/>
      <c r="B752" s="10"/>
      <c r="C752" s="10"/>
      <c r="D752" s="10"/>
      <c r="E752" s="11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spans="1:32" ht="15.75" customHeight="1" x14ac:dyDescent="0.35">
      <c r="A753" s="10"/>
      <c r="B753" s="10"/>
      <c r="C753" s="10"/>
      <c r="D753" s="10"/>
      <c r="E753" s="11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spans="1:32" ht="15.75" customHeight="1" x14ac:dyDescent="0.35">
      <c r="A754" s="10"/>
      <c r="B754" s="10"/>
      <c r="C754" s="10"/>
      <c r="D754" s="10"/>
      <c r="E754" s="11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spans="1:32" ht="15.75" customHeight="1" x14ac:dyDescent="0.35">
      <c r="A755" s="10"/>
      <c r="B755" s="10"/>
      <c r="C755" s="10"/>
      <c r="D755" s="10"/>
      <c r="E755" s="11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spans="1:32" ht="15.75" customHeight="1" x14ac:dyDescent="0.35">
      <c r="A756" s="10"/>
      <c r="B756" s="10"/>
      <c r="C756" s="10"/>
      <c r="D756" s="10"/>
      <c r="E756" s="11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spans="1:32" ht="15.75" customHeight="1" x14ac:dyDescent="0.35">
      <c r="A757" s="10"/>
      <c r="B757" s="10"/>
      <c r="C757" s="10"/>
      <c r="D757" s="10"/>
      <c r="E757" s="11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spans="1:32" ht="15.75" customHeight="1" x14ac:dyDescent="0.35">
      <c r="A758" s="10"/>
      <c r="B758" s="10"/>
      <c r="C758" s="10"/>
      <c r="D758" s="10"/>
      <c r="E758" s="11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spans="1:32" ht="15.75" customHeight="1" x14ac:dyDescent="0.35">
      <c r="A759" s="10"/>
      <c r="B759" s="10"/>
      <c r="C759" s="10"/>
      <c r="D759" s="10"/>
      <c r="E759" s="11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spans="1:32" ht="15.75" customHeight="1" x14ac:dyDescent="0.35">
      <c r="A760" s="10"/>
      <c r="B760" s="10"/>
      <c r="C760" s="10"/>
      <c r="D760" s="10"/>
      <c r="E760" s="11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spans="1:32" ht="15.75" customHeight="1" x14ac:dyDescent="0.35">
      <c r="A761" s="10"/>
      <c r="B761" s="10"/>
      <c r="C761" s="10"/>
      <c r="D761" s="10"/>
      <c r="E761" s="11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spans="1:32" ht="15.75" customHeight="1" x14ac:dyDescent="0.35">
      <c r="A762" s="10"/>
      <c r="B762" s="10"/>
      <c r="C762" s="10"/>
      <c r="D762" s="10"/>
      <c r="E762" s="11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spans="1:32" ht="15.75" customHeight="1" x14ac:dyDescent="0.35">
      <c r="A763" s="10"/>
      <c r="B763" s="10"/>
      <c r="C763" s="10"/>
      <c r="D763" s="10"/>
      <c r="E763" s="11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spans="1:32" ht="15.75" customHeight="1" x14ac:dyDescent="0.35">
      <c r="A764" s="10"/>
      <c r="B764" s="10"/>
      <c r="C764" s="10"/>
      <c r="D764" s="10"/>
      <c r="E764" s="11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spans="1:32" ht="15.75" customHeight="1" x14ac:dyDescent="0.35">
      <c r="A765" s="10"/>
      <c r="B765" s="10"/>
      <c r="C765" s="10"/>
      <c r="D765" s="10"/>
      <c r="E765" s="11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spans="1:32" ht="15.75" customHeight="1" x14ac:dyDescent="0.35">
      <c r="A766" s="10"/>
      <c r="B766" s="10"/>
      <c r="C766" s="10"/>
      <c r="D766" s="10"/>
      <c r="E766" s="11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spans="1:32" ht="15.75" customHeight="1" x14ac:dyDescent="0.35">
      <c r="A767" s="10"/>
      <c r="B767" s="10"/>
      <c r="C767" s="10"/>
      <c r="D767" s="10"/>
      <c r="E767" s="11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spans="1:32" ht="15.75" customHeight="1" x14ac:dyDescent="0.35">
      <c r="A768" s="10"/>
      <c r="B768" s="10"/>
      <c r="C768" s="10"/>
      <c r="D768" s="10"/>
      <c r="E768" s="11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spans="1:32" ht="15.75" customHeight="1" x14ac:dyDescent="0.35">
      <c r="A769" s="10"/>
      <c r="B769" s="10"/>
      <c r="C769" s="10"/>
      <c r="D769" s="10"/>
      <c r="E769" s="11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spans="1:32" ht="15.75" customHeight="1" x14ac:dyDescent="0.35">
      <c r="A770" s="10"/>
      <c r="B770" s="10"/>
      <c r="C770" s="10"/>
      <c r="D770" s="10"/>
      <c r="E770" s="11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spans="1:32" ht="15.75" customHeight="1" x14ac:dyDescent="0.35">
      <c r="A771" s="10"/>
      <c r="B771" s="10"/>
      <c r="C771" s="10"/>
      <c r="D771" s="10"/>
      <c r="E771" s="11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spans="1:32" ht="15.75" customHeight="1" x14ac:dyDescent="0.35">
      <c r="A772" s="10"/>
      <c r="B772" s="10"/>
      <c r="C772" s="10"/>
      <c r="D772" s="10"/>
      <c r="E772" s="11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spans="1:32" ht="15.75" customHeight="1" x14ac:dyDescent="0.35">
      <c r="A773" s="10"/>
      <c r="B773" s="10"/>
      <c r="C773" s="10"/>
      <c r="D773" s="10"/>
      <c r="E773" s="11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spans="1:32" ht="15.75" customHeight="1" x14ac:dyDescent="0.35">
      <c r="A774" s="10"/>
      <c r="B774" s="10"/>
      <c r="C774" s="10"/>
      <c r="D774" s="10"/>
      <c r="E774" s="11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spans="1:32" ht="15.75" customHeight="1" x14ac:dyDescent="0.35">
      <c r="A775" s="10"/>
      <c r="B775" s="10"/>
      <c r="C775" s="10"/>
      <c r="D775" s="10"/>
      <c r="E775" s="11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spans="1:32" ht="15.75" customHeight="1" x14ac:dyDescent="0.35">
      <c r="A776" s="10"/>
      <c r="B776" s="10"/>
      <c r="C776" s="10"/>
      <c r="D776" s="10"/>
      <c r="E776" s="11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spans="1:32" ht="15.75" customHeight="1" x14ac:dyDescent="0.35">
      <c r="A777" s="10"/>
      <c r="B777" s="10"/>
      <c r="C777" s="10"/>
      <c r="D777" s="10"/>
      <c r="E777" s="11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spans="1:32" ht="15.75" customHeight="1" x14ac:dyDescent="0.35">
      <c r="A778" s="10"/>
      <c r="B778" s="10"/>
      <c r="C778" s="10"/>
      <c r="D778" s="10"/>
      <c r="E778" s="11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spans="1:32" ht="15.75" customHeight="1" x14ac:dyDescent="0.35">
      <c r="A779" s="10"/>
      <c r="B779" s="10"/>
      <c r="C779" s="10"/>
      <c r="D779" s="10"/>
      <c r="E779" s="11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spans="1:32" ht="15.75" customHeight="1" x14ac:dyDescent="0.35">
      <c r="A780" s="10"/>
      <c r="B780" s="10"/>
      <c r="C780" s="10"/>
      <c r="D780" s="10"/>
      <c r="E780" s="11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spans="1:32" ht="15.75" customHeight="1" x14ac:dyDescent="0.35">
      <c r="A781" s="10"/>
      <c r="B781" s="10"/>
      <c r="C781" s="10"/>
      <c r="D781" s="10"/>
      <c r="E781" s="11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spans="1:32" ht="15.75" customHeight="1" x14ac:dyDescent="0.35">
      <c r="A782" s="10"/>
      <c r="B782" s="10"/>
      <c r="C782" s="10"/>
      <c r="D782" s="10"/>
      <c r="E782" s="11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spans="1:32" ht="15.75" customHeight="1" x14ac:dyDescent="0.35">
      <c r="A783" s="10"/>
      <c r="B783" s="10"/>
      <c r="C783" s="10"/>
      <c r="D783" s="10"/>
      <c r="E783" s="11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spans="1:32" ht="15.75" customHeight="1" x14ac:dyDescent="0.35">
      <c r="A784" s="10"/>
      <c r="B784" s="10"/>
      <c r="C784" s="10"/>
      <c r="D784" s="10"/>
      <c r="E784" s="11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spans="1:32" ht="15.75" customHeight="1" x14ac:dyDescent="0.35">
      <c r="A785" s="10"/>
      <c r="B785" s="10"/>
      <c r="C785" s="10"/>
      <c r="D785" s="10"/>
      <c r="E785" s="11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spans="1:32" ht="15.75" customHeight="1" x14ac:dyDescent="0.35">
      <c r="A786" s="10"/>
      <c r="B786" s="10"/>
      <c r="C786" s="10"/>
      <c r="D786" s="10"/>
      <c r="E786" s="11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spans="1:32" ht="15.75" customHeight="1" x14ac:dyDescent="0.35">
      <c r="A787" s="10"/>
      <c r="B787" s="10"/>
      <c r="C787" s="10"/>
      <c r="D787" s="10"/>
      <c r="E787" s="11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spans="1:32" ht="15.75" customHeight="1" x14ac:dyDescent="0.35">
      <c r="A788" s="10"/>
      <c r="B788" s="10"/>
      <c r="C788" s="10"/>
      <c r="D788" s="10"/>
      <c r="E788" s="11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spans="1:32" ht="15.75" customHeight="1" x14ac:dyDescent="0.35">
      <c r="A789" s="10"/>
      <c r="B789" s="10"/>
      <c r="C789" s="10"/>
      <c r="D789" s="10"/>
      <c r="E789" s="11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spans="1:32" ht="15.75" customHeight="1" x14ac:dyDescent="0.35">
      <c r="A790" s="10"/>
      <c r="B790" s="10"/>
      <c r="C790" s="10"/>
      <c r="D790" s="10"/>
      <c r="E790" s="11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spans="1:32" ht="15.75" customHeight="1" x14ac:dyDescent="0.35">
      <c r="A791" s="10"/>
      <c r="B791" s="10"/>
      <c r="C791" s="10"/>
      <c r="D791" s="10"/>
      <c r="E791" s="11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spans="1:32" ht="15.75" customHeight="1" x14ac:dyDescent="0.35">
      <c r="A792" s="10"/>
      <c r="B792" s="10"/>
      <c r="C792" s="10"/>
      <c r="D792" s="10"/>
      <c r="E792" s="11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spans="1:32" ht="15.75" customHeight="1" x14ac:dyDescent="0.35">
      <c r="A793" s="10"/>
      <c r="B793" s="10"/>
      <c r="C793" s="10"/>
      <c r="D793" s="10"/>
      <c r="E793" s="11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spans="1:32" ht="15.75" customHeight="1" x14ac:dyDescent="0.35">
      <c r="A794" s="10"/>
      <c r="B794" s="10"/>
      <c r="C794" s="10"/>
      <c r="D794" s="10"/>
      <c r="E794" s="11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spans="1:32" ht="15.75" customHeight="1" x14ac:dyDescent="0.35">
      <c r="A795" s="10"/>
      <c r="B795" s="10"/>
      <c r="C795" s="10"/>
      <c r="D795" s="10"/>
      <c r="E795" s="11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spans="1:32" ht="15.75" customHeight="1" x14ac:dyDescent="0.35">
      <c r="A796" s="10"/>
      <c r="B796" s="10"/>
      <c r="C796" s="10"/>
      <c r="D796" s="10"/>
      <c r="E796" s="11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spans="1:32" ht="15.75" customHeight="1" x14ac:dyDescent="0.35">
      <c r="A797" s="10"/>
      <c r="B797" s="10"/>
      <c r="C797" s="10"/>
      <c r="D797" s="10"/>
      <c r="E797" s="11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spans="1:32" ht="15.75" customHeight="1" x14ac:dyDescent="0.35">
      <c r="A798" s="10"/>
      <c r="B798" s="10"/>
      <c r="C798" s="10"/>
      <c r="D798" s="10"/>
      <c r="E798" s="11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spans="1:32" ht="15.75" customHeight="1" x14ac:dyDescent="0.35">
      <c r="A799" s="10"/>
      <c r="B799" s="10"/>
      <c r="C799" s="10"/>
      <c r="D799" s="10"/>
      <c r="E799" s="11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spans="1:32" ht="15.75" customHeight="1" x14ac:dyDescent="0.35">
      <c r="A800" s="10"/>
      <c r="B800" s="10"/>
      <c r="C800" s="10"/>
      <c r="D800" s="10"/>
      <c r="E800" s="11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spans="1:32" ht="15.75" customHeight="1" x14ac:dyDescent="0.35">
      <c r="A801" s="10"/>
      <c r="B801" s="10"/>
      <c r="C801" s="10"/>
      <c r="D801" s="10"/>
      <c r="E801" s="11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spans="1:32" ht="15.75" customHeight="1" x14ac:dyDescent="0.35">
      <c r="A802" s="10"/>
      <c r="B802" s="10"/>
      <c r="C802" s="10"/>
      <c r="D802" s="10"/>
      <c r="E802" s="11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spans="1:32" ht="15.75" customHeight="1" x14ac:dyDescent="0.35">
      <c r="A803" s="10"/>
      <c r="B803" s="10"/>
      <c r="C803" s="10"/>
      <c r="D803" s="10"/>
      <c r="E803" s="11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spans="1:32" ht="15.75" customHeight="1" x14ac:dyDescent="0.35">
      <c r="A804" s="10"/>
      <c r="B804" s="10"/>
      <c r="C804" s="10"/>
      <c r="D804" s="10"/>
      <c r="E804" s="11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spans="1:32" ht="15.75" customHeight="1" x14ac:dyDescent="0.35">
      <c r="A805" s="10"/>
      <c r="B805" s="10"/>
      <c r="C805" s="10"/>
      <c r="D805" s="10"/>
      <c r="E805" s="11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spans="1:32" ht="15.75" customHeight="1" x14ac:dyDescent="0.35">
      <c r="A806" s="10"/>
      <c r="B806" s="10"/>
      <c r="C806" s="10"/>
      <c r="D806" s="10"/>
      <c r="E806" s="11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spans="1:32" ht="15.75" customHeight="1" x14ac:dyDescent="0.35">
      <c r="A807" s="10"/>
      <c r="B807" s="10"/>
      <c r="C807" s="10"/>
      <c r="D807" s="10"/>
      <c r="E807" s="11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spans="1:32" ht="15.75" customHeight="1" x14ac:dyDescent="0.35">
      <c r="A808" s="10"/>
      <c r="B808" s="10"/>
      <c r="C808" s="10"/>
      <c r="D808" s="10"/>
      <c r="E808" s="11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spans="1:32" ht="15.75" customHeight="1" x14ac:dyDescent="0.35">
      <c r="A809" s="10"/>
      <c r="B809" s="10"/>
      <c r="C809" s="10"/>
      <c r="D809" s="10"/>
      <c r="E809" s="11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spans="1:32" ht="15.75" customHeight="1" x14ac:dyDescent="0.35">
      <c r="A810" s="10"/>
      <c r="B810" s="10"/>
      <c r="C810" s="10"/>
      <c r="D810" s="10"/>
      <c r="E810" s="11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spans="1:32" ht="15.75" customHeight="1" x14ac:dyDescent="0.35">
      <c r="A811" s="10"/>
      <c r="B811" s="10"/>
      <c r="C811" s="10"/>
      <c r="D811" s="10"/>
      <c r="E811" s="11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spans="1:32" ht="15.75" customHeight="1" x14ac:dyDescent="0.35">
      <c r="A812" s="10"/>
      <c r="B812" s="10"/>
      <c r="C812" s="10"/>
      <c r="D812" s="10"/>
      <c r="E812" s="11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spans="1:32" ht="15.75" customHeight="1" x14ac:dyDescent="0.35">
      <c r="A813" s="10"/>
      <c r="B813" s="10"/>
      <c r="C813" s="10"/>
      <c r="D813" s="10"/>
      <c r="E813" s="11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spans="1:32" ht="15.75" customHeight="1" x14ac:dyDescent="0.35">
      <c r="A814" s="10"/>
      <c r="B814" s="10"/>
      <c r="C814" s="10"/>
      <c r="D814" s="10"/>
      <c r="E814" s="11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spans="1:32" ht="15.75" customHeight="1" x14ac:dyDescent="0.35">
      <c r="A815" s="10"/>
      <c r="B815" s="10"/>
      <c r="C815" s="10"/>
      <c r="D815" s="10"/>
      <c r="E815" s="11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spans="1:32" ht="15.75" customHeight="1" x14ac:dyDescent="0.35">
      <c r="A816" s="10"/>
      <c r="B816" s="10"/>
      <c r="C816" s="10"/>
      <c r="D816" s="10"/>
      <c r="E816" s="11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spans="1:32" ht="15.75" customHeight="1" x14ac:dyDescent="0.35">
      <c r="A817" s="10"/>
      <c r="B817" s="10"/>
      <c r="C817" s="10"/>
      <c r="D817" s="10"/>
      <c r="E817" s="11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spans="1:32" ht="15.75" customHeight="1" x14ac:dyDescent="0.35">
      <c r="A818" s="10"/>
      <c r="B818" s="10"/>
      <c r="C818" s="10"/>
      <c r="D818" s="10"/>
      <c r="E818" s="11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spans="1:32" ht="15.75" customHeight="1" x14ac:dyDescent="0.35">
      <c r="A819" s="10"/>
      <c r="B819" s="10"/>
      <c r="C819" s="10"/>
      <c r="D819" s="10"/>
      <c r="E819" s="11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spans="1:32" ht="15.75" customHeight="1" x14ac:dyDescent="0.35">
      <c r="A820" s="10"/>
      <c r="B820" s="10"/>
      <c r="C820" s="10"/>
      <c r="D820" s="10"/>
      <c r="E820" s="11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spans="1:32" ht="15.75" customHeight="1" x14ac:dyDescent="0.35">
      <c r="A821" s="10"/>
      <c r="B821" s="10"/>
      <c r="C821" s="10"/>
      <c r="D821" s="10"/>
      <c r="E821" s="11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spans="1:32" ht="15.75" customHeight="1" x14ac:dyDescent="0.35">
      <c r="A822" s="10"/>
      <c r="B822" s="10"/>
      <c r="C822" s="10"/>
      <c r="D822" s="10"/>
      <c r="E822" s="11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spans="1:32" ht="15.75" customHeight="1" x14ac:dyDescent="0.35">
      <c r="A823" s="10"/>
      <c r="B823" s="10"/>
      <c r="C823" s="10"/>
      <c r="D823" s="10"/>
      <c r="E823" s="11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spans="1:32" ht="15.75" customHeight="1" x14ac:dyDescent="0.35">
      <c r="A824" s="10"/>
      <c r="B824" s="10"/>
      <c r="C824" s="10"/>
      <c r="D824" s="10"/>
      <c r="E824" s="11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spans="1:32" ht="15.75" customHeight="1" x14ac:dyDescent="0.35">
      <c r="A825" s="10"/>
      <c r="B825" s="10"/>
      <c r="C825" s="10"/>
      <c r="D825" s="10"/>
      <c r="E825" s="11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spans="1:32" ht="15.75" customHeight="1" x14ac:dyDescent="0.35">
      <c r="A826" s="10"/>
      <c r="B826" s="10"/>
      <c r="C826" s="10"/>
      <c r="D826" s="10"/>
      <c r="E826" s="11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spans="1:32" ht="15.75" customHeight="1" x14ac:dyDescent="0.35">
      <c r="A827" s="10"/>
      <c r="B827" s="10"/>
      <c r="C827" s="10"/>
      <c r="D827" s="10"/>
      <c r="E827" s="11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spans="1:32" ht="15.75" customHeight="1" x14ac:dyDescent="0.35">
      <c r="A828" s="10"/>
      <c r="B828" s="10"/>
      <c r="C828" s="10"/>
      <c r="D828" s="10"/>
      <c r="E828" s="11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spans="1:32" ht="15.75" customHeight="1" x14ac:dyDescent="0.35">
      <c r="A829" s="10"/>
      <c r="B829" s="10"/>
      <c r="C829" s="10"/>
      <c r="D829" s="10"/>
      <c r="E829" s="11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spans="1:32" ht="15.75" customHeight="1" x14ac:dyDescent="0.35">
      <c r="A830" s="10"/>
      <c r="B830" s="10"/>
      <c r="C830" s="10"/>
      <c r="D830" s="10"/>
      <c r="E830" s="11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spans="1:32" ht="15.75" customHeight="1" x14ac:dyDescent="0.35">
      <c r="A831" s="10"/>
      <c r="B831" s="10"/>
      <c r="C831" s="10"/>
      <c r="D831" s="10"/>
      <c r="E831" s="11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spans="1:32" ht="15.75" customHeight="1" x14ac:dyDescent="0.35">
      <c r="A832" s="10"/>
      <c r="B832" s="10"/>
      <c r="C832" s="10"/>
      <c r="D832" s="10"/>
      <c r="E832" s="11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spans="1:32" ht="15.75" customHeight="1" x14ac:dyDescent="0.35">
      <c r="A833" s="10"/>
      <c r="B833" s="10"/>
      <c r="C833" s="10"/>
      <c r="D833" s="10"/>
      <c r="E833" s="11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spans="1:32" ht="15.75" customHeight="1" x14ac:dyDescent="0.35">
      <c r="A834" s="10"/>
      <c r="B834" s="10"/>
      <c r="C834" s="10"/>
      <c r="D834" s="10"/>
      <c r="E834" s="11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spans="1:32" ht="15.75" customHeight="1" x14ac:dyDescent="0.35">
      <c r="A835" s="10"/>
      <c r="B835" s="10"/>
      <c r="C835" s="10"/>
      <c r="D835" s="10"/>
      <c r="E835" s="11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spans="1:32" ht="15.75" customHeight="1" x14ac:dyDescent="0.35">
      <c r="A836" s="10"/>
      <c r="B836" s="10"/>
      <c r="C836" s="10"/>
      <c r="D836" s="10"/>
      <c r="E836" s="11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spans="1:32" ht="15.75" customHeight="1" x14ac:dyDescent="0.35">
      <c r="A837" s="10"/>
      <c r="B837" s="10"/>
      <c r="C837" s="10"/>
      <c r="D837" s="10"/>
      <c r="E837" s="11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spans="1:32" ht="15.75" customHeight="1" x14ac:dyDescent="0.35">
      <c r="A838" s="10"/>
      <c r="B838" s="10"/>
      <c r="C838" s="10"/>
      <c r="D838" s="10"/>
      <c r="E838" s="11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spans="1:32" ht="15.75" customHeight="1" x14ac:dyDescent="0.35">
      <c r="A839" s="10"/>
      <c r="B839" s="10"/>
      <c r="C839" s="10"/>
      <c r="D839" s="10"/>
      <c r="E839" s="11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spans="1:32" ht="15.75" customHeight="1" x14ac:dyDescent="0.35">
      <c r="A840" s="10"/>
      <c r="B840" s="10"/>
      <c r="C840" s="10"/>
      <c r="D840" s="10"/>
      <c r="E840" s="11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spans="1:32" ht="15.75" customHeight="1" x14ac:dyDescent="0.35">
      <c r="A841" s="10"/>
      <c r="B841" s="10"/>
      <c r="C841" s="10"/>
      <c r="D841" s="10"/>
      <c r="E841" s="11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spans="1:32" ht="15.75" customHeight="1" x14ac:dyDescent="0.35">
      <c r="A842" s="10"/>
      <c r="B842" s="10"/>
      <c r="C842" s="10"/>
      <c r="D842" s="10"/>
      <c r="E842" s="11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spans="1:32" ht="15.75" customHeight="1" x14ac:dyDescent="0.35">
      <c r="A843" s="10"/>
      <c r="B843" s="10"/>
      <c r="C843" s="10"/>
      <c r="D843" s="10"/>
      <c r="E843" s="11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spans="1:32" ht="15.75" customHeight="1" x14ac:dyDescent="0.35">
      <c r="A844" s="10"/>
      <c r="B844" s="10"/>
      <c r="C844" s="10"/>
      <c r="D844" s="10"/>
      <c r="E844" s="11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spans="1:32" ht="15.75" customHeight="1" x14ac:dyDescent="0.35">
      <c r="A845" s="10"/>
      <c r="B845" s="10"/>
      <c r="C845" s="10"/>
      <c r="D845" s="10"/>
      <c r="E845" s="11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spans="1:32" ht="15.75" customHeight="1" x14ac:dyDescent="0.35">
      <c r="A846" s="10"/>
      <c r="B846" s="10"/>
      <c r="C846" s="10"/>
      <c r="D846" s="10"/>
      <c r="E846" s="11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spans="1:32" ht="15.75" customHeight="1" x14ac:dyDescent="0.35">
      <c r="A847" s="10"/>
      <c r="B847" s="10"/>
      <c r="C847" s="10"/>
      <c r="D847" s="10"/>
      <c r="E847" s="11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spans="1:32" ht="15.75" customHeight="1" x14ac:dyDescent="0.35">
      <c r="A848" s="10"/>
      <c r="B848" s="10"/>
      <c r="C848" s="10"/>
      <c r="D848" s="10"/>
      <c r="E848" s="11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spans="1:32" ht="15.75" customHeight="1" x14ac:dyDescent="0.35">
      <c r="A849" s="10"/>
      <c r="B849" s="10"/>
      <c r="C849" s="10"/>
      <c r="D849" s="10"/>
      <c r="E849" s="11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spans="1:32" ht="15.75" customHeight="1" x14ac:dyDescent="0.35">
      <c r="A850" s="10"/>
      <c r="B850" s="10"/>
      <c r="C850" s="10"/>
      <c r="D850" s="10"/>
      <c r="E850" s="11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spans="1:32" ht="15.75" customHeight="1" x14ac:dyDescent="0.35">
      <c r="A851" s="10"/>
      <c r="B851" s="10"/>
      <c r="C851" s="10"/>
      <c r="D851" s="10"/>
      <c r="E851" s="11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spans="1:32" ht="15.75" customHeight="1" x14ac:dyDescent="0.35">
      <c r="A852" s="10"/>
      <c r="B852" s="10"/>
      <c r="C852" s="10"/>
      <c r="D852" s="10"/>
      <c r="E852" s="11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spans="1:32" ht="15.75" customHeight="1" x14ac:dyDescent="0.35">
      <c r="A853" s="10"/>
      <c r="B853" s="10"/>
      <c r="C853" s="10"/>
      <c r="D853" s="10"/>
      <c r="E853" s="11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spans="1:32" ht="15.75" customHeight="1" x14ac:dyDescent="0.35">
      <c r="A854" s="10"/>
      <c r="B854" s="10"/>
      <c r="C854" s="10"/>
      <c r="D854" s="10"/>
      <c r="E854" s="11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spans="1:32" ht="15.75" customHeight="1" x14ac:dyDescent="0.35">
      <c r="A855" s="10"/>
      <c r="B855" s="10"/>
      <c r="C855" s="10"/>
      <c r="D855" s="10"/>
      <c r="E855" s="11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spans="1:32" ht="15.75" customHeight="1" x14ac:dyDescent="0.35">
      <c r="A856" s="10"/>
      <c r="B856" s="10"/>
      <c r="C856" s="10"/>
      <c r="D856" s="10"/>
      <c r="E856" s="11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spans="1:32" ht="15.75" customHeight="1" x14ac:dyDescent="0.35">
      <c r="A857" s="10"/>
      <c r="B857" s="10"/>
      <c r="C857" s="10"/>
      <c r="D857" s="10"/>
      <c r="E857" s="11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spans="1:32" ht="15.75" customHeight="1" x14ac:dyDescent="0.35">
      <c r="A858" s="10"/>
      <c r="B858" s="10"/>
      <c r="C858" s="10"/>
      <c r="D858" s="10"/>
      <c r="E858" s="11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spans="1:32" ht="15.75" customHeight="1" x14ac:dyDescent="0.35">
      <c r="A859" s="10"/>
      <c r="B859" s="10"/>
      <c r="C859" s="10"/>
      <c r="D859" s="10"/>
      <c r="E859" s="11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spans="1:32" ht="15.75" customHeight="1" x14ac:dyDescent="0.35">
      <c r="A860" s="10"/>
      <c r="B860" s="10"/>
      <c r="C860" s="10"/>
      <c r="D860" s="10"/>
      <c r="E860" s="11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spans="1:32" ht="15.75" customHeight="1" x14ac:dyDescent="0.35">
      <c r="A861" s="10"/>
      <c r="B861" s="10"/>
      <c r="C861" s="10"/>
      <c r="D861" s="10"/>
      <c r="E861" s="11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spans="1:32" ht="15.75" customHeight="1" x14ac:dyDescent="0.35">
      <c r="A862" s="10"/>
      <c r="B862" s="10"/>
      <c r="C862" s="10"/>
      <c r="D862" s="10"/>
      <c r="E862" s="11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spans="1:32" ht="15.75" customHeight="1" x14ac:dyDescent="0.35">
      <c r="A863" s="10"/>
      <c r="B863" s="10"/>
      <c r="C863" s="10"/>
      <c r="D863" s="10"/>
      <c r="E863" s="11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spans="1:32" ht="15.75" customHeight="1" x14ac:dyDescent="0.35">
      <c r="A864" s="10"/>
      <c r="B864" s="10"/>
      <c r="C864" s="10"/>
      <c r="D864" s="10"/>
      <c r="E864" s="11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spans="1:32" ht="15.75" customHeight="1" x14ac:dyDescent="0.35">
      <c r="A865" s="10"/>
      <c r="B865" s="10"/>
      <c r="C865" s="10"/>
      <c r="D865" s="10"/>
      <c r="E865" s="11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spans="1:32" ht="15.75" customHeight="1" x14ac:dyDescent="0.35">
      <c r="A866" s="10"/>
      <c r="B866" s="10"/>
      <c r="C866" s="10"/>
      <c r="D866" s="10"/>
      <c r="E866" s="11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spans="1:32" ht="15.75" customHeight="1" x14ac:dyDescent="0.35">
      <c r="A867" s="10"/>
      <c r="B867" s="10"/>
      <c r="C867" s="10"/>
      <c r="D867" s="10"/>
      <c r="E867" s="11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spans="1:32" ht="15.75" customHeight="1" x14ac:dyDescent="0.35">
      <c r="A868" s="10"/>
      <c r="B868" s="10"/>
      <c r="C868" s="10"/>
      <c r="D868" s="10"/>
      <c r="E868" s="11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spans="1:32" ht="15.75" customHeight="1" x14ac:dyDescent="0.35">
      <c r="A869" s="10"/>
      <c r="B869" s="10"/>
      <c r="C869" s="10"/>
      <c r="D869" s="10"/>
      <c r="E869" s="11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spans="1:32" ht="15.75" customHeight="1" x14ac:dyDescent="0.35">
      <c r="A870" s="10"/>
      <c r="B870" s="10"/>
      <c r="C870" s="10"/>
      <c r="D870" s="10"/>
      <c r="E870" s="11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spans="1:32" ht="15.75" customHeight="1" x14ac:dyDescent="0.35">
      <c r="A871" s="10"/>
      <c r="B871" s="10"/>
      <c r="C871" s="10"/>
      <c r="D871" s="10"/>
      <c r="E871" s="11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spans="1:32" ht="15.75" customHeight="1" x14ac:dyDescent="0.35">
      <c r="A872" s="10"/>
      <c r="B872" s="10"/>
      <c r="C872" s="10"/>
      <c r="D872" s="10"/>
      <c r="E872" s="11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spans="1:32" ht="15.75" customHeight="1" x14ac:dyDescent="0.35">
      <c r="A873" s="10"/>
      <c r="B873" s="10"/>
      <c r="C873" s="10"/>
      <c r="D873" s="10"/>
      <c r="E873" s="11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spans="1:32" ht="15.75" customHeight="1" x14ac:dyDescent="0.35">
      <c r="A874" s="10"/>
      <c r="B874" s="10"/>
      <c r="C874" s="10"/>
      <c r="D874" s="10"/>
      <c r="E874" s="11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spans="1:32" ht="15.75" customHeight="1" x14ac:dyDescent="0.35">
      <c r="A875" s="10"/>
      <c r="B875" s="10"/>
      <c r="C875" s="10"/>
      <c r="D875" s="10"/>
      <c r="E875" s="11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spans="1:32" ht="15.75" customHeight="1" x14ac:dyDescent="0.35">
      <c r="A876" s="10"/>
      <c r="B876" s="10"/>
      <c r="C876" s="10"/>
      <c r="D876" s="10"/>
      <c r="E876" s="11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spans="1:32" ht="15.75" customHeight="1" x14ac:dyDescent="0.35">
      <c r="A877" s="10"/>
      <c r="B877" s="10"/>
      <c r="C877" s="10"/>
      <c r="D877" s="10"/>
      <c r="E877" s="11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spans="1:32" ht="15.75" customHeight="1" x14ac:dyDescent="0.35">
      <c r="A878" s="10"/>
      <c r="B878" s="10"/>
      <c r="C878" s="10"/>
      <c r="D878" s="10"/>
      <c r="E878" s="11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spans="1:32" ht="15.75" customHeight="1" x14ac:dyDescent="0.35">
      <c r="A879" s="10"/>
      <c r="B879" s="10"/>
      <c r="C879" s="10"/>
      <c r="D879" s="10"/>
      <c r="E879" s="11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spans="1:32" ht="15.75" customHeight="1" x14ac:dyDescent="0.35">
      <c r="A880" s="10"/>
      <c r="B880" s="10"/>
      <c r="C880" s="10"/>
      <c r="D880" s="10"/>
      <c r="E880" s="11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spans="1:32" ht="15.75" customHeight="1" x14ac:dyDescent="0.35">
      <c r="A881" s="10"/>
      <c r="B881" s="10"/>
      <c r="C881" s="10"/>
      <c r="D881" s="10"/>
      <c r="E881" s="11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spans="1:32" ht="15.75" customHeight="1" x14ac:dyDescent="0.35">
      <c r="A882" s="10"/>
      <c r="B882" s="10"/>
      <c r="C882" s="10"/>
      <c r="D882" s="10"/>
      <c r="E882" s="11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spans="1:32" ht="15.75" customHeight="1" x14ac:dyDescent="0.35">
      <c r="A883" s="10"/>
      <c r="B883" s="10"/>
      <c r="C883" s="10"/>
      <c r="D883" s="10"/>
      <c r="E883" s="11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spans="1:32" ht="15.75" customHeight="1" x14ac:dyDescent="0.35">
      <c r="A884" s="10"/>
      <c r="B884" s="10"/>
      <c r="C884" s="10"/>
      <c r="D884" s="10"/>
      <c r="E884" s="11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spans="1:32" ht="15.75" customHeight="1" x14ac:dyDescent="0.35">
      <c r="A885" s="10"/>
      <c r="B885" s="10"/>
      <c r="C885" s="10"/>
      <c r="D885" s="10"/>
      <c r="E885" s="11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spans="1:32" ht="15.75" customHeight="1" x14ac:dyDescent="0.35">
      <c r="A886" s="10"/>
      <c r="B886" s="10"/>
      <c r="C886" s="10"/>
      <c r="D886" s="10"/>
      <c r="E886" s="11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spans="1:32" ht="15.75" customHeight="1" x14ac:dyDescent="0.35">
      <c r="A887" s="10"/>
      <c r="B887" s="10"/>
      <c r="C887" s="10"/>
      <c r="D887" s="10"/>
      <c r="E887" s="11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spans="1:32" ht="15.75" customHeight="1" x14ac:dyDescent="0.35">
      <c r="A888" s="10"/>
      <c r="B888" s="10"/>
      <c r="C888" s="10"/>
      <c r="D888" s="10"/>
      <c r="E888" s="11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spans="1:32" ht="15.75" customHeight="1" x14ac:dyDescent="0.35">
      <c r="A889" s="10"/>
      <c r="B889" s="10"/>
      <c r="C889" s="10"/>
      <c r="D889" s="10"/>
      <c r="E889" s="11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spans="1:32" ht="15.75" customHeight="1" x14ac:dyDescent="0.35">
      <c r="A890" s="10"/>
      <c r="B890" s="10"/>
      <c r="C890" s="10"/>
      <c r="D890" s="10"/>
      <c r="E890" s="11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spans="1:32" ht="15.75" customHeight="1" x14ac:dyDescent="0.35">
      <c r="A891" s="10"/>
      <c r="B891" s="10"/>
      <c r="C891" s="10"/>
      <c r="D891" s="10"/>
      <c r="E891" s="11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spans="1:32" ht="15.75" customHeight="1" x14ac:dyDescent="0.35">
      <c r="A892" s="10"/>
      <c r="B892" s="10"/>
      <c r="C892" s="10"/>
      <c r="D892" s="10"/>
      <c r="E892" s="11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spans="1:32" ht="15.75" customHeight="1" x14ac:dyDescent="0.35">
      <c r="A893" s="10"/>
      <c r="B893" s="10"/>
      <c r="C893" s="10"/>
      <c r="D893" s="10"/>
      <c r="E893" s="11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spans="1:32" ht="15.75" customHeight="1" x14ac:dyDescent="0.35">
      <c r="A894" s="10"/>
      <c r="B894" s="10"/>
      <c r="C894" s="10"/>
      <c r="D894" s="10"/>
      <c r="E894" s="11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spans="1:32" ht="15.75" customHeight="1" x14ac:dyDescent="0.35">
      <c r="A895" s="10"/>
      <c r="B895" s="10"/>
      <c r="C895" s="10"/>
      <c r="D895" s="10"/>
      <c r="E895" s="11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spans="1:32" ht="15.75" customHeight="1" x14ac:dyDescent="0.35">
      <c r="A896" s="10"/>
      <c r="B896" s="10"/>
      <c r="C896" s="10"/>
      <c r="D896" s="10"/>
      <c r="E896" s="11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spans="1:32" ht="15.75" customHeight="1" x14ac:dyDescent="0.35">
      <c r="A897" s="10"/>
      <c r="B897" s="10"/>
      <c r="C897" s="10"/>
      <c r="D897" s="10"/>
      <c r="E897" s="11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spans="1:32" ht="15.75" customHeight="1" x14ac:dyDescent="0.35">
      <c r="A898" s="10"/>
      <c r="B898" s="10"/>
      <c r="C898" s="10"/>
      <c r="D898" s="10"/>
      <c r="E898" s="11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spans="1:32" ht="15.75" customHeight="1" x14ac:dyDescent="0.35">
      <c r="A899" s="10"/>
      <c r="B899" s="10"/>
      <c r="C899" s="10"/>
      <c r="D899" s="10"/>
      <c r="E899" s="11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spans="1:32" ht="15.75" customHeight="1" x14ac:dyDescent="0.35">
      <c r="A900" s="10"/>
      <c r="B900" s="10"/>
      <c r="C900" s="10"/>
      <c r="D900" s="10"/>
      <c r="E900" s="11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spans="1:32" ht="15.75" customHeight="1" x14ac:dyDescent="0.35">
      <c r="A901" s="10"/>
      <c r="B901" s="10"/>
      <c r="C901" s="10"/>
      <c r="D901" s="10"/>
      <c r="E901" s="11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spans="1:32" ht="15.75" customHeight="1" x14ac:dyDescent="0.35">
      <c r="A902" s="10"/>
      <c r="B902" s="10"/>
      <c r="C902" s="10"/>
      <c r="D902" s="10"/>
      <c r="E902" s="11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spans="1:32" ht="15.75" customHeight="1" x14ac:dyDescent="0.35">
      <c r="A903" s="10"/>
      <c r="B903" s="10"/>
      <c r="C903" s="10"/>
      <c r="D903" s="10"/>
      <c r="E903" s="11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spans="1:32" ht="15.75" customHeight="1" x14ac:dyDescent="0.35">
      <c r="A904" s="10"/>
      <c r="B904" s="10"/>
      <c r="C904" s="10"/>
      <c r="D904" s="10"/>
      <c r="E904" s="11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spans="1:32" ht="15.75" customHeight="1" x14ac:dyDescent="0.35">
      <c r="A905" s="10"/>
      <c r="B905" s="10"/>
      <c r="C905" s="10"/>
      <c r="D905" s="10"/>
      <c r="E905" s="11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spans="1:32" ht="15.75" customHeight="1" x14ac:dyDescent="0.35">
      <c r="A906" s="10"/>
      <c r="B906" s="10"/>
      <c r="C906" s="10"/>
      <c r="D906" s="10"/>
      <c r="E906" s="11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spans="1:32" ht="15.75" customHeight="1" x14ac:dyDescent="0.35">
      <c r="A907" s="10"/>
      <c r="B907" s="10"/>
      <c r="C907" s="10"/>
      <c r="D907" s="10"/>
      <c r="E907" s="11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spans="1:32" ht="15.75" customHeight="1" x14ac:dyDescent="0.35">
      <c r="A908" s="10"/>
      <c r="B908" s="10"/>
      <c r="C908" s="10"/>
      <c r="D908" s="10"/>
      <c r="E908" s="11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spans="1:32" ht="15.75" customHeight="1" x14ac:dyDescent="0.35">
      <c r="A909" s="10"/>
      <c r="B909" s="10"/>
      <c r="C909" s="10"/>
      <c r="D909" s="10"/>
      <c r="E909" s="11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spans="1:32" ht="15.75" customHeight="1" x14ac:dyDescent="0.35">
      <c r="A910" s="10"/>
      <c r="B910" s="10"/>
      <c r="C910" s="10"/>
      <c r="D910" s="10"/>
      <c r="E910" s="11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spans="1:32" ht="15.75" customHeight="1" x14ac:dyDescent="0.35">
      <c r="A911" s="10"/>
      <c r="B911" s="10"/>
      <c r="C911" s="10"/>
      <c r="D911" s="10"/>
      <c r="E911" s="11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spans="1:32" ht="15.75" customHeight="1" x14ac:dyDescent="0.35">
      <c r="A912" s="10"/>
      <c r="B912" s="10"/>
      <c r="C912" s="10"/>
      <c r="D912" s="10"/>
      <c r="E912" s="11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spans="1:32" ht="15.75" customHeight="1" x14ac:dyDescent="0.35">
      <c r="A913" s="10"/>
      <c r="B913" s="10"/>
      <c r="C913" s="10"/>
      <c r="D913" s="10"/>
      <c r="E913" s="11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spans="1:32" ht="15.75" customHeight="1" x14ac:dyDescent="0.35">
      <c r="A914" s="10"/>
      <c r="B914" s="10"/>
      <c r="C914" s="10"/>
      <c r="D914" s="10"/>
      <c r="E914" s="11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spans="1:32" ht="15.75" customHeight="1" x14ac:dyDescent="0.35">
      <c r="A915" s="10"/>
      <c r="B915" s="10"/>
      <c r="C915" s="10"/>
      <c r="D915" s="10"/>
      <c r="E915" s="11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spans="1:32" ht="15.75" customHeight="1" x14ac:dyDescent="0.35">
      <c r="A916" s="10"/>
      <c r="B916" s="10"/>
      <c r="C916" s="10"/>
      <c r="D916" s="10"/>
      <c r="E916" s="11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spans="1:32" ht="15.75" customHeight="1" x14ac:dyDescent="0.35">
      <c r="A917" s="10"/>
      <c r="B917" s="10"/>
      <c r="C917" s="10"/>
      <c r="D917" s="10"/>
      <c r="E917" s="11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spans="1:32" ht="15.75" customHeight="1" x14ac:dyDescent="0.35">
      <c r="A918" s="10"/>
      <c r="B918" s="10"/>
      <c r="C918" s="10"/>
      <c r="D918" s="10"/>
      <c r="E918" s="11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spans="1:32" ht="15.75" customHeight="1" x14ac:dyDescent="0.35">
      <c r="A919" s="10"/>
      <c r="B919" s="10"/>
      <c r="C919" s="10"/>
      <c r="D919" s="10"/>
      <c r="E919" s="11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spans="1:32" ht="15.75" customHeight="1" x14ac:dyDescent="0.35">
      <c r="A920" s="10"/>
      <c r="B920" s="10"/>
      <c r="C920" s="10"/>
      <c r="D920" s="10"/>
      <c r="E920" s="11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spans="1:32" ht="15.75" customHeight="1" x14ac:dyDescent="0.35">
      <c r="A921" s="10"/>
      <c r="B921" s="10"/>
      <c r="C921" s="10"/>
      <c r="D921" s="10"/>
      <c r="E921" s="11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spans="1:32" ht="15.75" customHeight="1" x14ac:dyDescent="0.35">
      <c r="A922" s="10"/>
      <c r="B922" s="10"/>
      <c r="C922" s="10"/>
      <c r="D922" s="10"/>
      <c r="E922" s="11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spans="1:32" ht="15.75" customHeight="1" x14ac:dyDescent="0.35">
      <c r="A923" s="10"/>
      <c r="B923" s="10"/>
      <c r="C923" s="10"/>
      <c r="D923" s="10"/>
      <c r="E923" s="11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spans="1:32" ht="15.75" customHeight="1" x14ac:dyDescent="0.35">
      <c r="A924" s="10"/>
      <c r="B924" s="10"/>
      <c r="C924" s="10"/>
      <c r="D924" s="10"/>
      <c r="E924" s="11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spans="1:32" ht="15.75" customHeight="1" x14ac:dyDescent="0.35">
      <c r="A925" s="10"/>
      <c r="B925" s="10"/>
      <c r="C925" s="10"/>
      <c r="D925" s="10"/>
      <c r="E925" s="11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spans="1:32" ht="15.75" customHeight="1" x14ac:dyDescent="0.35">
      <c r="A926" s="10"/>
      <c r="B926" s="10"/>
      <c r="C926" s="10"/>
      <c r="D926" s="10"/>
      <c r="E926" s="11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spans="1:32" ht="15.75" customHeight="1" x14ac:dyDescent="0.35">
      <c r="A927" s="10"/>
      <c r="B927" s="10"/>
      <c r="C927" s="10"/>
      <c r="D927" s="10"/>
      <c r="E927" s="11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spans="1:32" ht="15.75" customHeight="1" x14ac:dyDescent="0.35">
      <c r="A928" s="10"/>
      <c r="B928" s="10"/>
      <c r="C928" s="10"/>
      <c r="D928" s="10"/>
      <c r="E928" s="11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spans="1:32" ht="15.75" customHeight="1" x14ac:dyDescent="0.35">
      <c r="A929" s="10"/>
      <c r="B929" s="10"/>
      <c r="C929" s="10"/>
      <c r="D929" s="10"/>
      <c r="E929" s="11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spans="1:32" ht="15.75" customHeight="1" x14ac:dyDescent="0.35">
      <c r="A930" s="10"/>
      <c r="B930" s="10"/>
      <c r="C930" s="10"/>
      <c r="D930" s="10"/>
      <c r="E930" s="11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spans="1:32" ht="15.75" customHeight="1" x14ac:dyDescent="0.35">
      <c r="A931" s="10"/>
      <c r="B931" s="10"/>
      <c r="C931" s="10"/>
      <c r="D931" s="10"/>
      <c r="E931" s="11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spans="1:32" ht="15.75" customHeight="1" x14ac:dyDescent="0.35">
      <c r="A932" s="10"/>
      <c r="B932" s="10"/>
      <c r="C932" s="10"/>
      <c r="D932" s="10"/>
      <c r="E932" s="11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spans="1:32" ht="15.75" customHeight="1" x14ac:dyDescent="0.35">
      <c r="A933" s="10"/>
      <c r="B933" s="10"/>
      <c r="C933" s="10"/>
      <c r="D933" s="10"/>
      <c r="E933" s="11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spans="1:32" ht="15.75" customHeight="1" x14ac:dyDescent="0.35">
      <c r="A934" s="10"/>
      <c r="B934" s="10"/>
      <c r="C934" s="10"/>
      <c r="D934" s="10"/>
      <c r="E934" s="11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spans="1:32" ht="15.75" customHeight="1" x14ac:dyDescent="0.35">
      <c r="A935" s="10"/>
      <c r="B935" s="10"/>
      <c r="C935" s="10"/>
      <c r="D935" s="10"/>
      <c r="E935" s="11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spans="1:32" ht="15.75" customHeight="1" x14ac:dyDescent="0.35">
      <c r="A936" s="10"/>
      <c r="B936" s="10"/>
      <c r="C936" s="10"/>
      <c r="D936" s="10"/>
      <c r="E936" s="11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spans="1:32" ht="15.75" customHeight="1" x14ac:dyDescent="0.35">
      <c r="A937" s="10"/>
      <c r="B937" s="10"/>
      <c r="C937" s="10"/>
      <c r="D937" s="10"/>
      <c r="E937" s="11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spans="1:32" ht="15.75" customHeight="1" x14ac:dyDescent="0.35">
      <c r="A938" s="10"/>
      <c r="B938" s="10"/>
      <c r="C938" s="10"/>
      <c r="D938" s="10"/>
      <c r="E938" s="11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spans="1:32" ht="15.75" customHeight="1" x14ac:dyDescent="0.35">
      <c r="A939" s="10"/>
      <c r="B939" s="10"/>
      <c r="C939" s="10"/>
      <c r="D939" s="10"/>
      <c r="E939" s="11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spans="1:32" ht="15.75" customHeight="1" x14ac:dyDescent="0.35">
      <c r="A940" s="10"/>
      <c r="B940" s="10"/>
      <c r="C940" s="10"/>
      <c r="D940" s="10"/>
      <c r="E940" s="11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spans="1:32" ht="15.75" customHeight="1" x14ac:dyDescent="0.35">
      <c r="A941" s="10"/>
      <c r="B941" s="10"/>
      <c r="C941" s="10"/>
      <c r="D941" s="10"/>
      <c r="E941" s="11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spans="1:32" ht="15.75" customHeight="1" x14ac:dyDescent="0.35">
      <c r="A942" s="10"/>
      <c r="B942" s="10"/>
      <c r="C942" s="10"/>
      <c r="D942" s="10"/>
      <c r="E942" s="11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spans="1:32" ht="15.75" customHeight="1" x14ac:dyDescent="0.35">
      <c r="A943" s="10"/>
      <c r="B943" s="10"/>
      <c r="C943" s="10"/>
      <c r="D943" s="10"/>
      <c r="E943" s="11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spans="1:32" ht="15.75" customHeight="1" x14ac:dyDescent="0.35">
      <c r="A944" s="10"/>
      <c r="B944" s="10"/>
      <c r="C944" s="10"/>
      <c r="D944" s="10"/>
      <c r="E944" s="11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spans="1:32" ht="15.75" customHeight="1" x14ac:dyDescent="0.35">
      <c r="A945" s="10"/>
      <c r="B945" s="10"/>
      <c r="C945" s="10"/>
      <c r="D945" s="10"/>
      <c r="E945" s="11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spans="1:32" ht="15.75" customHeight="1" x14ac:dyDescent="0.35">
      <c r="A946" s="10"/>
      <c r="B946" s="10"/>
      <c r="C946" s="10"/>
      <c r="D946" s="10"/>
      <c r="E946" s="11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spans="1:32" ht="15.75" customHeight="1" x14ac:dyDescent="0.35">
      <c r="A947" s="10"/>
      <c r="B947" s="10"/>
      <c r="C947" s="10"/>
      <c r="D947" s="10"/>
      <c r="E947" s="11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spans="1:32" ht="15.75" customHeight="1" x14ac:dyDescent="0.35">
      <c r="A948" s="10"/>
      <c r="B948" s="10"/>
      <c r="C948" s="10"/>
      <c r="D948" s="10"/>
      <c r="E948" s="11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spans="1:32" ht="15.75" customHeight="1" x14ac:dyDescent="0.35">
      <c r="A949" s="10"/>
      <c r="B949" s="10"/>
      <c r="C949" s="10"/>
      <c r="D949" s="10"/>
      <c r="E949" s="11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spans="1:32" ht="15.75" customHeight="1" x14ac:dyDescent="0.35">
      <c r="A950" s="10"/>
      <c r="B950" s="10"/>
      <c r="C950" s="10"/>
      <c r="D950" s="10"/>
      <c r="E950" s="11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spans="1:32" ht="15.75" customHeight="1" x14ac:dyDescent="0.35">
      <c r="A951" s="10"/>
      <c r="B951" s="10"/>
      <c r="C951" s="10"/>
      <c r="D951" s="10"/>
      <c r="E951" s="11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spans="1:32" ht="15.75" customHeight="1" x14ac:dyDescent="0.35">
      <c r="A952" s="10"/>
      <c r="B952" s="10"/>
      <c r="C952" s="10"/>
      <c r="D952" s="10"/>
      <c r="E952" s="11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spans="1:32" ht="15.75" customHeight="1" x14ac:dyDescent="0.35">
      <c r="A953" s="10"/>
      <c r="B953" s="10"/>
      <c r="C953" s="10"/>
      <c r="D953" s="10"/>
      <c r="E953" s="11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spans="1:32" ht="15.75" customHeight="1" x14ac:dyDescent="0.35">
      <c r="A954" s="10"/>
      <c r="B954" s="10"/>
      <c r="C954" s="10"/>
      <c r="D954" s="10"/>
      <c r="E954" s="11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spans="1:32" ht="15.75" customHeight="1" x14ac:dyDescent="0.35">
      <c r="A955" s="10"/>
      <c r="B955" s="10"/>
      <c r="C955" s="10"/>
      <c r="D955" s="10"/>
      <c r="E955" s="11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spans="1:32" ht="15.75" customHeight="1" x14ac:dyDescent="0.35">
      <c r="A956" s="10"/>
      <c r="B956" s="10"/>
      <c r="C956" s="10"/>
      <c r="D956" s="10"/>
      <c r="E956" s="11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spans="1:32" ht="15.75" customHeight="1" x14ac:dyDescent="0.35">
      <c r="A957" s="10"/>
      <c r="B957" s="10"/>
      <c r="C957" s="10"/>
      <c r="D957" s="10"/>
      <c r="E957" s="11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spans="1:32" ht="15.75" customHeight="1" x14ac:dyDescent="0.35">
      <c r="A958" s="10"/>
      <c r="B958" s="10"/>
      <c r="C958" s="10"/>
      <c r="D958" s="10"/>
      <c r="E958" s="11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spans="1:32" ht="15.75" customHeight="1" x14ac:dyDescent="0.35">
      <c r="A959" s="10"/>
      <c r="B959" s="10"/>
      <c r="C959" s="10"/>
      <c r="D959" s="10"/>
      <c r="E959" s="11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spans="1:32" ht="15.75" customHeight="1" x14ac:dyDescent="0.35">
      <c r="A960" s="10"/>
      <c r="B960" s="10"/>
      <c r="C960" s="10"/>
      <c r="D960" s="10"/>
      <c r="E960" s="11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spans="1:32" ht="15.75" customHeight="1" x14ac:dyDescent="0.35">
      <c r="A961" s="10"/>
      <c r="B961" s="10"/>
      <c r="C961" s="10"/>
      <c r="D961" s="10"/>
      <c r="E961" s="11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spans="1:32" ht="15.75" customHeight="1" x14ac:dyDescent="0.35">
      <c r="A962" s="10"/>
      <c r="B962" s="10"/>
      <c r="C962" s="10"/>
      <c r="D962" s="10"/>
      <c r="E962" s="11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spans="1:32" ht="15.75" customHeight="1" x14ac:dyDescent="0.35">
      <c r="A963" s="10"/>
      <c r="B963" s="10"/>
      <c r="C963" s="10"/>
      <c r="D963" s="10"/>
      <c r="E963" s="11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spans="1:32" ht="15.75" customHeight="1" x14ac:dyDescent="0.35">
      <c r="A964" s="10"/>
      <c r="B964" s="10"/>
      <c r="C964" s="10"/>
      <c r="D964" s="10"/>
      <c r="E964" s="11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spans="1:32" ht="15.75" customHeight="1" x14ac:dyDescent="0.35">
      <c r="A965" s="10"/>
      <c r="B965" s="10"/>
      <c r="C965" s="10"/>
      <c r="D965" s="10"/>
      <c r="E965" s="11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spans="1:32" ht="15.75" customHeight="1" x14ac:dyDescent="0.35">
      <c r="A966" s="10"/>
      <c r="B966" s="10"/>
      <c r="C966" s="10"/>
      <c r="D966" s="10"/>
      <c r="E966" s="11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spans="1:32" ht="15.75" customHeight="1" x14ac:dyDescent="0.35">
      <c r="A967" s="10"/>
      <c r="B967" s="10"/>
      <c r="C967" s="10"/>
      <c r="D967" s="10"/>
      <c r="E967" s="11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spans="1:32" ht="15.75" customHeight="1" x14ac:dyDescent="0.35">
      <c r="A968" s="10"/>
      <c r="B968" s="10"/>
      <c r="C968" s="10"/>
      <c r="D968" s="10"/>
      <c r="E968" s="11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spans="1:32" ht="15.75" customHeight="1" x14ac:dyDescent="0.35">
      <c r="A969" s="10"/>
      <c r="B969" s="10"/>
      <c r="C969" s="10"/>
      <c r="D969" s="10"/>
      <c r="E969" s="11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spans="1:32" ht="15.75" customHeight="1" x14ac:dyDescent="0.35">
      <c r="A970" s="10"/>
      <c r="B970" s="10"/>
      <c r="C970" s="10"/>
      <c r="D970" s="10"/>
      <c r="E970" s="11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spans="1:32" ht="15.75" customHeight="1" x14ac:dyDescent="0.35">
      <c r="A971" s="10"/>
      <c r="B971" s="10"/>
      <c r="C971" s="10"/>
      <c r="D971" s="10"/>
      <c r="E971" s="11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spans="1:32" ht="15.75" customHeight="1" x14ac:dyDescent="0.35">
      <c r="A972" s="10"/>
      <c r="B972" s="10"/>
      <c r="C972" s="10"/>
      <c r="D972" s="10"/>
      <c r="E972" s="11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spans="1:32" ht="15.75" customHeight="1" x14ac:dyDescent="0.35">
      <c r="A973" s="10"/>
      <c r="B973" s="10"/>
      <c r="C973" s="10"/>
      <c r="D973" s="10"/>
      <c r="E973" s="11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spans="1:32" ht="15.75" customHeight="1" x14ac:dyDescent="0.35">
      <c r="A974" s="10"/>
      <c r="B974" s="10"/>
      <c r="C974" s="10"/>
      <c r="D974" s="10"/>
      <c r="E974" s="11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spans="1:32" ht="15.75" customHeight="1" x14ac:dyDescent="0.35">
      <c r="A975" s="10"/>
      <c r="B975" s="10"/>
      <c r="C975" s="10"/>
      <c r="D975" s="10"/>
      <c r="E975" s="11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spans="1:32" ht="15.75" customHeight="1" x14ac:dyDescent="0.35">
      <c r="A976" s="10"/>
      <c r="B976" s="10"/>
      <c r="C976" s="10"/>
      <c r="D976" s="10"/>
      <c r="E976" s="11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spans="1:32" ht="15.75" customHeight="1" x14ac:dyDescent="0.35">
      <c r="A977" s="10"/>
      <c r="B977" s="10"/>
      <c r="C977" s="10"/>
      <c r="D977" s="10"/>
      <c r="E977" s="11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spans="1:32" ht="15.75" customHeight="1" x14ac:dyDescent="0.35">
      <c r="A978" s="10"/>
      <c r="B978" s="10"/>
      <c r="C978" s="10"/>
      <c r="D978" s="10"/>
      <c r="E978" s="11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spans="1:32" ht="15.75" customHeight="1" x14ac:dyDescent="0.35">
      <c r="A979" s="10"/>
      <c r="B979" s="10"/>
      <c r="C979" s="10"/>
      <c r="D979" s="10"/>
      <c r="E979" s="11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spans="1:32" ht="15.75" customHeight="1" x14ac:dyDescent="0.35">
      <c r="A980" s="10"/>
      <c r="B980" s="10"/>
      <c r="C980" s="10"/>
      <c r="D980" s="10"/>
      <c r="E980" s="11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spans="1:32" ht="15.75" customHeight="1" x14ac:dyDescent="0.35">
      <c r="A981" s="10"/>
      <c r="B981" s="10"/>
      <c r="C981" s="10"/>
      <c r="D981" s="10"/>
      <c r="E981" s="11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spans="1:32" ht="15.75" customHeight="1" x14ac:dyDescent="0.35">
      <c r="A982" s="10"/>
      <c r="B982" s="10"/>
      <c r="C982" s="10"/>
      <c r="D982" s="10"/>
      <c r="E982" s="11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spans="1:32" ht="15.75" customHeight="1" x14ac:dyDescent="0.35">
      <c r="A983" s="10"/>
      <c r="B983" s="10"/>
      <c r="C983" s="10"/>
      <c r="D983" s="10"/>
      <c r="E983" s="11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spans="1:32" ht="15.75" customHeight="1" x14ac:dyDescent="0.35">
      <c r="A984" s="10"/>
      <c r="B984" s="10"/>
      <c r="C984" s="10"/>
      <c r="D984" s="10"/>
      <c r="E984" s="11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spans="1:32" ht="15.75" customHeight="1" x14ac:dyDescent="0.35">
      <c r="A985" s="10"/>
      <c r="B985" s="10"/>
      <c r="C985" s="10"/>
      <c r="D985" s="10"/>
      <c r="E985" s="11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spans="1:32" ht="15.75" customHeight="1" x14ac:dyDescent="0.35">
      <c r="A986" s="10"/>
      <c r="B986" s="10"/>
      <c r="C986" s="10"/>
      <c r="D986" s="10"/>
      <c r="E986" s="11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spans="1:32" ht="15.75" customHeight="1" x14ac:dyDescent="0.35">
      <c r="A987" s="10"/>
      <c r="B987" s="10"/>
      <c r="C987" s="10"/>
      <c r="D987" s="10"/>
      <c r="E987" s="11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spans="1:32" ht="15.75" customHeight="1" x14ac:dyDescent="0.35">
      <c r="A988" s="10"/>
      <c r="B988" s="10"/>
      <c r="C988" s="10"/>
      <c r="D988" s="10"/>
      <c r="E988" s="11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spans="1:32" ht="15.75" customHeight="1" x14ac:dyDescent="0.35">
      <c r="A989" s="10"/>
      <c r="B989" s="10"/>
      <c r="C989" s="10"/>
      <c r="D989" s="10"/>
      <c r="E989" s="11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spans="1:32" ht="15.75" customHeight="1" x14ac:dyDescent="0.35">
      <c r="A990" s="10"/>
      <c r="B990" s="10"/>
      <c r="C990" s="10"/>
      <c r="D990" s="10"/>
      <c r="E990" s="11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spans="1:32" ht="15.75" customHeight="1" x14ac:dyDescent="0.35">
      <c r="A991" s="10"/>
      <c r="B991" s="10"/>
      <c r="C991" s="10"/>
      <c r="D991" s="10"/>
      <c r="E991" s="11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spans="1:32" ht="15.75" customHeight="1" x14ac:dyDescent="0.35">
      <c r="A992" s="10"/>
      <c r="B992" s="10"/>
      <c r="C992" s="10"/>
      <c r="D992" s="10"/>
      <c r="E992" s="11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spans="1:32" ht="15.75" customHeight="1" x14ac:dyDescent="0.35">
      <c r="A993" s="10"/>
      <c r="B993" s="10"/>
      <c r="C993" s="10"/>
      <c r="D993" s="10"/>
      <c r="E993" s="11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spans="1:32" ht="15.75" customHeight="1" x14ac:dyDescent="0.35">
      <c r="A994" s="10"/>
      <c r="B994" s="10"/>
      <c r="C994" s="10"/>
      <c r="D994" s="10"/>
      <c r="E994" s="11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spans="1:32" ht="15.75" customHeight="1" x14ac:dyDescent="0.35">
      <c r="A995" s="10"/>
      <c r="B995" s="10"/>
      <c r="C995" s="10"/>
      <c r="D995" s="10"/>
      <c r="E995" s="11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spans="1:32" ht="15.75" customHeight="1" x14ac:dyDescent="0.35">
      <c r="A996" s="10"/>
      <c r="B996" s="10"/>
      <c r="C996" s="10"/>
      <c r="D996" s="10"/>
      <c r="E996" s="11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spans="1:32" ht="15.75" customHeight="1" x14ac:dyDescent="0.35">
      <c r="A997" s="10"/>
      <c r="B997" s="10"/>
      <c r="C997" s="10"/>
      <c r="D997" s="10"/>
      <c r="E997" s="11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spans="1:32" ht="15.75" customHeight="1" x14ac:dyDescent="0.35">
      <c r="A998" s="10"/>
      <c r="B998" s="10"/>
      <c r="C998" s="10"/>
      <c r="D998" s="10"/>
      <c r="E998" s="11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spans="1:32" ht="15.75" customHeight="1" x14ac:dyDescent="0.35">
      <c r="A999" s="10"/>
      <c r="B999" s="10"/>
      <c r="C999" s="10"/>
      <c r="D999" s="10"/>
      <c r="E999" s="11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spans="1:32" ht="15.75" customHeight="1" x14ac:dyDescent="0.35">
      <c r="A1000" s="10"/>
      <c r="B1000" s="10"/>
      <c r="C1000" s="10"/>
      <c r="D1000" s="10"/>
      <c r="E1000" s="11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 spans="1:32" ht="15.75" customHeight="1" x14ac:dyDescent="0.35">
      <c r="A1001" s="10"/>
      <c r="B1001" s="10"/>
      <c r="C1001" s="10"/>
      <c r="D1001" s="10"/>
      <c r="E1001" s="11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 spans="1:32" ht="15.75" customHeight="1" x14ac:dyDescent="0.35">
      <c r="A1002" s="10"/>
      <c r="B1002" s="10"/>
      <c r="C1002" s="10"/>
      <c r="D1002" s="10"/>
      <c r="E1002" s="11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 spans="1:32" ht="15.75" customHeight="1" x14ac:dyDescent="0.35">
      <c r="A1003" s="10"/>
      <c r="B1003" s="10"/>
      <c r="C1003" s="10"/>
      <c r="D1003" s="10"/>
      <c r="E1003" s="11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 spans="1:32" ht="15.75" customHeight="1" x14ac:dyDescent="0.35">
      <c r="A1004" s="10"/>
      <c r="B1004" s="10"/>
      <c r="C1004" s="10"/>
      <c r="D1004" s="10"/>
      <c r="E1004" s="11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 spans="1:32" ht="15.75" customHeight="1" x14ac:dyDescent="0.35">
      <c r="A1005" s="10"/>
      <c r="B1005" s="10"/>
      <c r="C1005" s="10"/>
      <c r="D1005" s="10"/>
      <c r="E1005" s="11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</sheetData>
  <autoFilter ref="A1:AF190" xr:uid="{00000000-0009-0000-0000-000000000000}">
    <filterColumn colId="1">
      <filters>
        <filter val="Ever vs. Never"/>
      </filters>
    </filterColumn>
  </autoFilter>
  <phoneticPr fontId="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study characteristics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윤슬기[ 학부재학 / 의학과 ]</dc:creator>
  <cp:lastModifiedBy>kim kihun</cp:lastModifiedBy>
  <dcterms:created xsi:type="dcterms:W3CDTF">2025-06-19T12:30:32Z</dcterms:created>
  <dcterms:modified xsi:type="dcterms:W3CDTF">2026-07-22T00:29:21Z</dcterms:modified>
</cp:coreProperties>
</file>